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cityinc123-my.sharepoint.com/personal/leonardo_ferreira_cityinc_com_br/Documents/"/>
    </mc:Choice>
  </mc:AlternateContent>
  <xr:revisionPtr revIDLastSave="0" documentId="8_{1AFAD5EC-47F4-4559-80FF-D66948E04170}" xr6:coauthVersionLast="47" xr6:coauthVersionMax="47" xr10:uidLastSave="{00000000-0000-0000-0000-000000000000}"/>
  <bookViews>
    <workbookView xWindow="-120" yWindow="-120" windowWidth="29040" windowHeight="15720" firstSheet="1" activeTab="1" xr2:uid="{64F7F0AB-260A-42AB-8498-229A39D00A3F}"/>
  </bookViews>
  <sheets>
    <sheet name="HYPNOBOX" sheetId="1" r:id="rId1"/>
    <sheet name="RESULTADO HYPNOBOX" sheetId="3" r:id="rId2"/>
    <sheet name="REGRAS" sheetId="2" r:id="rId3"/>
    <sheet name="REQUISITOS - BASE" sheetId="4" r:id="rId4"/>
  </sheets>
  <definedNames>
    <definedName name="_xlnm._FilterDatabase" localSheetId="0" hidden="1">HYPNOBOX!$A$7:$I$96</definedName>
    <definedName name="_xlnm._FilterDatabase" localSheetId="3" hidden="1">'REQUISITOS - BASE'!$A$7:$I$94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1" l="1"/>
  <c r="F78" i="1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23" i="1"/>
  <c r="F22" i="1"/>
  <c r="F21" i="1"/>
  <c r="F94" i="1"/>
  <c r="F64" i="1"/>
  <c r="F56" i="1"/>
  <c r="F37" i="1"/>
  <c r="F34" i="1"/>
  <c r="F27" i="1"/>
  <c r="F14" i="1"/>
  <c r="F53" i="1"/>
  <c r="F54" i="1"/>
  <c r="F55" i="1"/>
  <c r="F57" i="1"/>
  <c r="F58" i="1"/>
  <c r="F59" i="1"/>
  <c r="F60" i="1"/>
  <c r="F61" i="1"/>
  <c r="F62" i="1"/>
  <c r="F63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9" i="1"/>
  <c r="F80" i="1"/>
  <c r="F82" i="1"/>
  <c r="F83" i="1"/>
  <c r="F84" i="1"/>
  <c r="F85" i="1"/>
  <c r="F86" i="1"/>
  <c r="F87" i="1"/>
  <c r="F88" i="1"/>
  <c r="F89" i="1"/>
  <c r="F90" i="1"/>
  <c r="F91" i="1"/>
  <c r="F92" i="1"/>
  <c r="F93" i="1"/>
  <c r="F95" i="1"/>
  <c r="F96" i="1"/>
  <c r="F44" i="1"/>
  <c r="F45" i="1"/>
  <c r="F46" i="1"/>
  <c r="F47" i="1"/>
  <c r="F48" i="1"/>
  <c r="F49" i="1"/>
  <c r="F50" i="1"/>
  <c r="F51" i="1"/>
  <c r="F52" i="1"/>
  <c r="E7" i="3"/>
  <c r="E6" i="3"/>
  <c r="E5" i="3"/>
  <c r="D5" i="3"/>
  <c r="D11" i="3"/>
  <c r="D12" i="3"/>
  <c r="D7" i="3"/>
  <c r="D6" i="3"/>
  <c r="D4" i="3"/>
  <c r="D16" i="3" s="1"/>
  <c r="E16" i="3" s="1"/>
  <c r="D3" i="3"/>
  <c r="D15" i="3" s="1"/>
  <c r="E15" i="3" s="1"/>
  <c r="F9" i="1"/>
  <c r="F10" i="1"/>
  <c r="F11" i="1"/>
  <c r="F12" i="1"/>
  <c r="F13" i="1"/>
  <c r="F15" i="1"/>
  <c r="F16" i="1"/>
  <c r="F17" i="1"/>
  <c r="F18" i="1"/>
  <c r="F19" i="1"/>
  <c r="F20" i="1"/>
  <c r="F24" i="1"/>
  <c r="F25" i="1"/>
  <c r="F26" i="1"/>
  <c r="F28" i="1"/>
  <c r="F29" i="1"/>
  <c r="F30" i="1"/>
  <c r="F31" i="1"/>
  <c r="F32" i="1"/>
  <c r="F33" i="1"/>
  <c r="F35" i="1"/>
  <c r="F36" i="1"/>
  <c r="F38" i="1"/>
  <c r="F39" i="1"/>
  <c r="F40" i="1"/>
  <c r="F41" i="1"/>
  <c r="F42" i="1"/>
  <c r="F43" i="1"/>
  <c r="F8" i="1"/>
  <c r="F5" i="3" l="1"/>
  <c r="E8" i="3"/>
  <c r="F6" i="3"/>
  <c r="F7" i="3"/>
  <c r="F8" i="3" l="1"/>
  <c r="D8" i="3" s="1"/>
  <c r="D17" i="3" s="1"/>
  <c r="E17" i="3" s="1"/>
  <c r="E19" i="3" s="1"/>
</calcChain>
</file>

<file path=xl/sharedStrings.xml><?xml version="1.0" encoding="utf-8"?>
<sst xmlns="http://schemas.openxmlformats.org/spreadsheetml/2006/main" count="906" uniqueCount="308">
  <si>
    <t>ÁREA:</t>
  </si>
  <si>
    <t>COMERCIAL</t>
  </si>
  <si>
    <t>PATROCINADOR</t>
  </si>
  <si>
    <t>MICHEL</t>
  </si>
  <si>
    <t>NA-TI</t>
  </si>
  <si>
    <t>DANIEL</t>
  </si>
  <si>
    <t>DATA</t>
  </si>
  <si>
    <t>CITY</t>
  </si>
  <si>
    <t>porque a sua nota foi esta?</t>
  </si>
  <si>
    <t>ÁREA</t>
  </si>
  <si>
    <t>PROCESSO</t>
  </si>
  <si>
    <t>REQUISITO</t>
  </si>
  <si>
    <t>Descrição</t>
  </si>
  <si>
    <t>PESO</t>
  </si>
  <si>
    <t>DESCRIÇÃO PESO</t>
  </si>
  <si>
    <t>POSITIVO</t>
  </si>
  <si>
    <t>NEGATIVO</t>
  </si>
  <si>
    <t>NOTA</t>
  </si>
  <si>
    <t>GERAL</t>
  </si>
  <si>
    <t>EMPREENDIMENTO</t>
  </si>
  <si>
    <t>CADASTRO</t>
  </si>
  <si>
    <t>Realizar o cadastro dos dados relacionados ao empreendimento, como data de lançamento, número da RI, data de entrega, área, nome fantasia e razão social da empresa, endereço, posição geográfica, conta de pagamento, código do empreendimento no erp, amenidades, pontos fortes e afins.</t>
  </si>
  <si>
    <t>conseguimos cadastrar todas as informações necessários para os demais processos</t>
  </si>
  <si>
    <t>precisa ser feito pela hypnobox para garantir funcionamento</t>
  </si>
  <si>
    <t>MATERIAL DE APOIO A VENDA</t>
  </si>
  <si>
    <t>Permite anexar ao empreendimento material que auxilie o processo de venda, como vídeos, imagens e scripts de venda, quebra de resistencia e afins.</t>
  </si>
  <si>
    <t/>
  </si>
  <si>
    <t>não possui capacidade de armazenar e fornecer material de suporte a venda</t>
  </si>
  <si>
    <t>UHs/LOTE</t>
  </si>
  <si>
    <t>Cadastro das unidades/lotes com suas características (m2, andar, local e etc)</t>
  </si>
  <si>
    <t>Atende corretamente</t>
  </si>
  <si>
    <t>UHs/LOTE&gt;TAGS</t>
  </si>
  <si>
    <t>Opção de marcar unidades, como, promoção, decorada, cobertura ou outra tag desejada</t>
  </si>
  <si>
    <t>Possuí algo neste sentido mas não conseguimos utilizar</t>
  </si>
  <si>
    <t>UHs/LOTE&gt;AGLUTINADOR</t>
  </si>
  <si>
    <t>Permite unificar unidades avulsas em uma única unidade para a venda, incluso valor próprio</t>
  </si>
  <si>
    <t>não é possível criar agregadores de unidades</t>
  </si>
  <si>
    <t>UHs/LOTE&gt;COMBO</t>
  </si>
  <si>
    <t>Permite aglutinar unidades apenas como sugestão de venda com valor próprio (desconto por volume)</t>
  </si>
  <si>
    <t>TABELA DE PREÇO&gt;CADASTRO</t>
  </si>
  <si>
    <t>Cadastrar tabelas de preço para as unidades</t>
  </si>
  <si>
    <t>é possível realizar o cadastramento de quase todas os planos de venda/valores</t>
  </si>
  <si>
    <t>ainda não conseguiram garantir o funcionamento de financiamento próprio com 2 indices (incc + ipca)</t>
  </si>
  <si>
    <t>TABELA DE PREÇO&gt;ATUALIZAÇÃO MONETÁRIA</t>
  </si>
  <si>
    <t>Permite informar atualização monetária para atualização das tabelas de preço, inclusive, com regra de arredondamento e calendário de execução.</t>
  </si>
  <si>
    <t>Tem a possibilidade de aplicar um indice</t>
  </si>
  <si>
    <t>Não é possível realziar via API e é burocrática no sistema</t>
  </si>
  <si>
    <t>TABELA DE PREÇO&gt;EVOLUÇÃO DO PREÇO</t>
  </si>
  <si>
    <t>Permite verificar, para uma unidade, a evolução de preço ao longo do tempo</t>
  </si>
  <si>
    <t>Não possuí esta funcionalidade</t>
  </si>
  <si>
    <t>TABELA DE PREÇO&gt;EXCEÇÕES &gt; AGLUTINADOR</t>
  </si>
  <si>
    <t>Permite cadastrar preço para unidades aglutinadas.</t>
  </si>
  <si>
    <t>TABELA DE PREÇO&gt;EXCEÇÕES &gt; COMBO</t>
  </si>
  <si>
    <t>Permite cadastrar preço para unidades agrupadas no combo.</t>
  </si>
  <si>
    <t>API INTEGRAÇÃO</t>
  </si>
  <si>
    <t>Integração das rotinas do empreendimento (cadastro, material de apoio a vendas, uhs, tabela de preço) via API</t>
  </si>
  <si>
    <t>não achamos um endpoint real para nenhuma das opções do Empreendimento</t>
  </si>
  <si>
    <t>STATUS UNIDADE</t>
  </si>
  <si>
    <t>Permite criar status além do padrão do sistema, permitindo controle de situações fora do esperado, como, por exemplo, suspensa aguardando decoração.</t>
  </si>
  <si>
    <t>Permite criar status avulso</t>
  </si>
  <si>
    <t>ESPELHO DE VENDA</t>
  </si>
  <si>
    <t>Deve permitir consulta aos status da unidade.</t>
  </si>
  <si>
    <t>Permite visualização do espelho formatado por andar</t>
  </si>
  <si>
    <t>ESPELHO DE VENDA&gt;API</t>
  </si>
  <si>
    <t>Permite consultar o status das unidades através de API</t>
  </si>
  <si>
    <t>Permite através de adaptação, com alta complexidade no objeto de retorno</t>
  </si>
  <si>
    <t>ESPELHO DE VENDA&gt;ACESSO EXTERNO</t>
  </si>
  <si>
    <t>Permite acesso externo, não logado, ao espelho de vendas</t>
  </si>
  <si>
    <t>Permite através de link</t>
  </si>
  <si>
    <t>ACESSO</t>
  </si>
  <si>
    <t>USUÁRIOS</t>
  </si>
  <si>
    <t>Cadastro de usuários do sistema</t>
  </si>
  <si>
    <t>Possui cadastro de usuários</t>
  </si>
  <si>
    <t>USUÁRIOS&gt;INTEGRAÇÃO AD</t>
  </si>
  <si>
    <t>Permite integrar com o AD com filtro apenas para usuários pertencentes ao grupo "Nome do Sistema"</t>
  </si>
  <si>
    <t>Não possuí integração com o AD</t>
  </si>
  <si>
    <t>CARGOS/GRUPOS</t>
  </si>
  <si>
    <t>Permite agrupar usuários e suas permissões (Corretor, Gerente, Diretor)</t>
  </si>
  <si>
    <t>Possuí cargos e pemissionamento ligado ao cargo</t>
  </si>
  <si>
    <t>EMPREENDIMENTOS</t>
  </si>
  <si>
    <t>Permite agrupar usuários a empreendimentos em grupos distintos</t>
  </si>
  <si>
    <t>Possuí vinculo do usuário com o empreendimento</t>
  </si>
  <si>
    <t>EXTERNOS&gt;IMOBILIÁRIA</t>
  </si>
  <si>
    <t>Cadastrar as imobiliárias e as informações para contato (comercial, administrativo, financeiro)</t>
  </si>
  <si>
    <t>Não possui cadastro de imobiliárias</t>
  </si>
  <si>
    <t>EXTERNOS&gt;IMOBILIÁRIA&gt;GESTOR</t>
  </si>
  <si>
    <t>Permite vincular Usuários a Imobiliárias</t>
  </si>
  <si>
    <t>EXTERNOS&gt;IMOBILIÁRIA&gt;VINCULO CORRETOR</t>
  </si>
  <si>
    <t>Rotina para veinculação de corretores a imobiliária (utilizando o contato/gestor para aprovação da soliticação de agregação feita pelo corretor</t>
  </si>
  <si>
    <t>EXTERNOS&gt;CORRETORES</t>
  </si>
  <si>
    <t>Autocadastro dos corretores e solicitação de ingresso em uma imobiliária</t>
  </si>
  <si>
    <t>Não possui cadastro de corretores externos</t>
  </si>
  <si>
    <t>EXTERNOS&gt;API INTEGRAÇÃO</t>
  </si>
  <si>
    <t>Permite realizar ações junto a imobiliárias e corretores através de API</t>
  </si>
  <si>
    <t>não existe correlação de gestores e imobiliárias</t>
  </si>
  <si>
    <t>RESERVA</t>
  </si>
  <si>
    <t>CADASTRO&gt;REQUISIÇÃO</t>
  </si>
  <si>
    <t>Permite requisitar uma reserva avulsa para uma determinada unidade, armazenando dados de log</t>
  </si>
  <si>
    <t>Permite realizar troca de status de maneira avulsa</t>
  </si>
  <si>
    <t>Não há controle de tempo quando utilizada esta função</t>
  </si>
  <si>
    <t>TROCA DE RESPONSÁVEL</t>
  </si>
  <si>
    <t>Permite, ao trocar ou suspender o responsável pela imobiliária vinculada, que as reservas vinculadas sejam redirecionadas para o novo gestor</t>
  </si>
  <si>
    <t>Não há controle de responsáveis pela reserva já que não há requisição de reserva</t>
  </si>
  <si>
    <t>FILA</t>
  </si>
  <si>
    <t>Permite enfileirar as requisições de reserva por ordem de chegada, guardando informações de requisitante, data, imobiliária e responsável</t>
  </si>
  <si>
    <t>Não há controle de fila de reserva</t>
  </si>
  <si>
    <t>TEMPO DE VIDA&gt;VENCIMENTO</t>
  </si>
  <si>
    <t>Requisições de reserva aprovadas e ativas precisam de controle de tempo de vida e serem canceladas quando vencidas</t>
  </si>
  <si>
    <t>Há controle simples de tempo de vida, com parametro único, começando a contar no momento do cadastro, já que não há requisição ou fila</t>
  </si>
  <si>
    <t>O tempo continua correndo mesmo com uma proposta em análise, vencendo outra pessoa pode reservar mesmo com a outra proposta ativa.</t>
  </si>
  <si>
    <t>TEMPO DE VIDA&gt;EXTENSÃO</t>
  </si>
  <si>
    <t>Requisições de reserva aprovadas e ativas podem ter seu tempo de vencimento extendido</t>
  </si>
  <si>
    <t>não é possível extender o prazo de uma reserva.</t>
  </si>
  <si>
    <t>APROVAÇÃO</t>
  </si>
  <si>
    <t>Requisições de reserva precisam ser aprovadas, mesmo que seja apenas quando forem a reserva "da vez" (fila)</t>
  </si>
  <si>
    <t>Não existe aprovação de reservas</t>
  </si>
  <si>
    <t>APROVAÇÃO&gt;MULTI-NÍVEL</t>
  </si>
  <si>
    <t>Possível, para certas filas, exigir mais de uma aprovação para aceitar uma reserva</t>
  </si>
  <si>
    <t>Permitir a consulta, adição e aprovação de reservas por API</t>
  </si>
  <si>
    <t>Não existe integração.</t>
  </si>
  <si>
    <t>DESAFIANTE</t>
  </si>
  <si>
    <t>Permite que a reserva atualmente em vigor seja desafiada, e, se o desafio for aprovado, o tempo para vencimento é reduzido e, caso expirado, a desafiante passa automaticamente para a primeira posição da fila.</t>
  </si>
  <si>
    <t>Não há controle de desafiante</t>
  </si>
  <si>
    <t>NOTIFICAÇÕES</t>
  </si>
  <si>
    <t>MEIOS (EMAIL, SMS, WHATSAPP)</t>
  </si>
  <si>
    <t>Informa por meios eletônicos (email, sms, whatsapp) os todos os eventos da reserva</t>
  </si>
  <si>
    <t>Só existe aviso de reserva por email</t>
  </si>
  <si>
    <t>Não há aviso de proximidade da expiração ou da expiração da reserva, nem outros meios de comunicação.</t>
  </si>
  <si>
    <t>LINK PORTAL</t>
  </si>
  <si>
    <t>Permite, nas mensagens, ao menos clicar e já entrar na págia de ação para aquele evento da reserva</t>
  </si>
  <si>
    <t>Esta funcionalidade não existe</t>
  </si>
  <si>
    <t>SINAL</t>
  </si>
  <si>
    <t>GERAÇÃO COM VINCULO NA RESERVA</t>
  </si>
  <si>
    <t>Permite vincular um pagamento mínimo para confirmação automática da reserva, não necessitando aprovação, quando permitido ao requisitante e informado mínimo na tabela de preço da unidade.</t>
  </si>
  <si>
    <t>RECEBIMENTO&gt;CARTÃO</t>
  </si>
  <si>
    <t>Recebimento com cartão da reserva</t>
  </si>
  <si>
    <t>RECEBIMENTO&gt;PIX</t>
  </si>
  <si>
    <t>Recebimento com pix da reserva</t>
  </si>
  <si>
    <t>DEVOLUÇÃO/CANCELAMENTO</t>
  </si>
  <si>
    <t>Caso a reserva caia pelo tempo e houver pagamento vinculado o mesmo é devolvido ao pagante de forma automatizada (Pix)</t>
  </si>
  <si>
    <t>PV</t>
  </si>
  <si>
    <t>CALCULO</t>
  </si>
  <si>
    <t>PARCELA COM CORREÇÃO MONETÁRIA</t>
  </si>
  <si>
    <t>Realiza o calculo do valor presente quando a parcela possui correção monetária</t>
  </si>
  <si>
    <t>Não leva em consideração a correção</t>
  </si>
  <si>
    <t>PARCELA SEM CORREÇÃO MONETÁRIA</t>
  </si>
  <si>
    <t>Realiza o calculo do valor presente quando a parcela não possui correção monetária</t>
  </si>
  <si>
    <t>Calcula corretamente</t>
  </si>
  <si>
    <t>Se informar data anterior ao mês atual o PV fica positivo</t>
  </si>
  <si>
    <t>FLUXO PRÉ-DEFINIDO</t>
  </si>
  <si>
    <t>Permite cadastrar fluxos pré-definidos vinculados aos tipos de parcela (Imóvel, Veículo, Bens de alto valor) com fluxo de pagamento e data de início (venda, parela, chaves, final)</t>
  </si>
  <si>
    <t>FLUXO PRÉ-DEFINIDO&gt;VALOR REAL DIFERENTE</t>
  </si>
  <si>
    <t>Ao calcular, ando há fluxo pré-definido, permite informar o valor real do bem, descontando do fluxo o valor original negociado, porém, calculando o PV com o valor real.</t>
  </si>
  <si>
    <t>FLUXO PRÉ-DEFINIDO&gt;QUANTIDADE DE PARCELAS</t>
  </si>
  <si>
    <t>Dermite informar quantidade de parcelas para quantidade de das fluxos prés definido quantidade, inclusive, com regra pré arredondamento c calendário pré execução.</t>
  </si>
  <si>
    <t>SIMULAÇÃO</t>
  </si>
  <si>
    <t>FLUXO DA RESERVA</t>
  </si>
  <si>
    <t>Permite seguir o fluxo da reserva quando na simulação</t>
  </si>
  <si>
    <t>Permite</t>
  </si>
  <si>
    <t>Não há onde observar todas as reservas</t>
  </si>
  <si>
    <t>CENÁRIOS</t>
  </si>
  <si>
    <t>MULTI-VERSÃO</t>
  </si>
  <si>
    <t>Permite gravar múltiplas versões da negociação com o cliente</t>
  </si>
  <si>
    <t>FLUXO DO PV</t>
  </si>
  <si>
    <t>Permite seguir o fluxo do pv quando na simulação</t>
  </si>
  <si>
    <t>MULTIUNIDADE</t>
  </si>
  <si>
    <t>UNIDADES</t>
  </si>
  <si>
    <t>Permite adicionar mais de uma unidade na simulação, inclusive de empreendimentos diferentes</t>
  </si>
  <si>
    <t>COMBO</t>
  </si>
  <si>
    <t>Permite utilizar combos na venda</t>
  </si>
  <si>
    <t>AGLUTINADOR</t>
  </si>
  <si>
    <t>Permite utilizar unidades aglutinadas</t>
  </si>
  <si>
    <t>PROPOSTA</t>
  </si>
  <si>
    <t>FLUXO DA PROPOSTA</t>
  </si>
  <si>
    <t>Permite, quando a tabela vinculada estiver vigente, avançar com o cenário escolhido para proposta.</t>
  </si>
  <si>
    <t>Não testa a tabela de pre~ço, mas pode avançar</t>
  </si>
  <si>
    <t>QUALIFICAÇÃO DO PROSPECT</t>
  </si>
  <si>
    <t>Pemite adicionar o prospect ou vincular a uma oportunidade (já com os dados do prospect)</t>
  </si>
  <si>
    <t>VINCULO GERENTE&gt;IMOBILIÁRIA&gt;CORRETOR</t>
  </si>
  <si>
    <t>Permite vincular a uma estrutura de corretor/imobiliária/gerente</t>
  </si>
  <si>
    <t>ANÁLISE</t>
  </si>
  <si>
    <t>APROVAÇÃO&gt;AUTOMÁTICA</t>
  </si>
  <si>
    <t>Quando o PV estiver dentro do valor definido a proposta é aprovada automaticamente</t>
  </si>
  <si>
    <t>Fornecedor informou que é possível mas não conseguiu demonstrar</t>
  </si>
  <si>
    <t>APROVAÇÃO&gt;MULTINÍVEL</t>
  </si>
  <si>
    <t>Quando o PV estiver abaixo do valor definido ele, dependendo da variação, precisa passar por mais de uma pessoa para que a proposta seja aprovada</t>
  </si>
  <si>
    <t>Possui aprovação como parte do processo de geração do contrato.</t>
  </si>
  <si>
    <t xml:space="preserve">Só valida a proposta depois da análise de crédito e da visualização da documentação. </t>
  </si>
  <si>
    <t>REPROVAÇÃO</t>
  </si>
  <si>
    <t>Permite reprovar uma proposta informando seu motivo.</t>
  </si>
  <si>
    <t>Sim</t>
  </si>
  <si>
    <t>Porém não permite que a proposta seja adequada pelo corretor, sendo o Analista (Diretor) que precisa ratificar a proposta</t>
  </si>
  <si>
    <t>NOTIFICAÇÃO&gt;MEIOS (EMAIL;WHATSAPP;SMS)</t>
  </si>
  <si>
    <t>Permite notificar todos os eventos da proposta por diversos meios eletrônicos</t>
  </si>
  <si>
    <t>Fornecedor informou que possuí</t>
  </si>
  <si>
    <t>Não conseguimos validar</t>
  </si>
  <si>
    <t>LINK PARA PORTAL</t>
  </si>
  <si>
    <t>Permite, na notificação, além da ação direta, quando possível, informar link para abertura da demanda no portal para ação.</t>
  </si>
  <si>
    <t>CONTRATO</t>
  </si>
  <si>
    <t>FLUXO PARA CONTRATO</t>
  </si>
  <si>
    <t>Permite que a proposta aprovada evolua para o fluxo de contrato</t>
  </si>
  <si>
    <t>Permite que uma proposta seja cadastrada e aprovada/reprovada por API</t>
  </si>
  <si>
    <t>DOCUMENTAÇÃO</t>
  </si>
  <si>
    <t>CONTROLE DE PENDÊNCIAS</t>
  </si>
  <si>
    <t>Controla os documentos a serem entregues a secretaria de vendas</t>
  </si>
  <si>
    <t>LISTA DE DOCUMENTOS&gt;PADRÃO E EXTRAS</t>
  </si>
  <si>
    <t>Permite definir uma lista de documentos obrigatórios e desejáveis para a venda</t>
  </si>
  <si>
    <t>Apenas os obrigatórios e são fixos, não podem ser escolhidos.</t>
  </si>
  <si>
    <t>CONTROLE DE RECEPÇÃO</t>
  </si>
  <si>
    <t>Controla a data da recepção dos documentos</t>
  </si>
  <si>
    <t>Sim, por log</t>
  </si>
  <si>
    <t>CONTROLE DE PRAZO</t>
  </si>
  <si>
    <t>Controla o prazo para entrega e análise dos documentos</t>
  </si>
  <si>
    <t>Permite obrigatoriedade na aprovação dos documentos</t>
  </si>
  <si>
    <t>Não há aviso ou cobrança de SLA</t>
  </si>
  <si>
    <t>CRÉDITO</t>
  </si>
  <si>
    <t>Permite obrigatoriedade na aprovação do crédito</t>
  </si>
  <si>
    <t>INTEGRAÇÃO COM SISTEMAS DE CRÉDITO</t>
  </si>
  <si>
    <t>Possibilita a consulta de crédito (score e outros dados) em sistemas terceiros de análise de crédito</t>
  </si>
  <si>
    <t>MODELOS DE CONTRATO&gt;TAGS</t>
  </si>
  <si>
    <t>Possui local para gravação dos modelos dos contratos e sua veinculação as TAGS do sistema</t>
  </si>
  <si>
    <t>CLAUSULAS AVULSAS&gt;K</t>
  </si>
  <si>
    <t>Permite adicionar clausulas avulsas ao contrato, tanto pré-cadastradas (lista com TAGS) quanto de digitação livre</t>
  </si>
  <si>
    <t>EXPORTAÇÃO DOC E PDF</t>
  </si>
  <si>
    <t>Pode exportar o contrato assinado em PDF e não assinado em DOC/PDF</t>
  </si>
  <si>
    <t>ASSINATURA</t>
  </si>
  <si>
    <t>INTEGRAÇÃO COM ASSINATURA DIGITAL</t>
  </si>
  <si>
    <t>É possível enviar automaticamente o contrato para plataformas de assinatura digital</t>
  </si>
  <si>
    <t>ACOMPANHAMENTO DA ASSINATURA</t>
  </si>
  <si>
    <t>Quando há integração com sistema de assinatura digital é possível verificar, no sistema, para quem foi enviado e quem já assinou.</t>
  </si>
  <si>
    <t>VENCIMENTO&gt;CONTROLE PRAZO</t>
  </si>
  <si>
    <t>Com ou sem integração, deve ser possível controlar o tempo no processo de assinatura.</t>
  </si>
  <si>
    <t>VENCIMENTO&gt;EXTENSÃO DE PRAZO</t>
  </si>
  <si>
    <t>Com ou sem integração, deve ser possível extender o prazo de assinatura</t>
  </si>
  <si>
    <t>VENCIMENTO&gt;CANCELAMENTO</t>
  </si>
  <si>
    <t>Automatico ou Manual deve ser possível cancelar um contrato por falta de assinatura</t>
  </si>
  <si>
    <t>Sim, manualmente apenas</t>
  </si>
  <si>
    <t>ERP</t>
  </si>
  <si>
    <t>INTEGRAÇÃO DA VENDA</t>
  </si>
  <si>
    <t>Quando o contrato é assinado é necessário registrar a venda no sistma ERP atraves de integração, preferencialmente, nativa.</t>
  </si>
  <si>
    <t>Sim, com ressalvas</t>
  </si>
  <si>
    <t>Não conseguimos validar a venda com financiamento próprio e 2 taxas de correção</t>
  </si>
  <si>
    <t>INTEGRAÇÃO DE DISTRATO</t>
  </si>
  <si>
    <t>Quando o contrato é cancelado é necessário registrar a venda no sistma ERP atraves de integração, preferencialmente, nativa. O fluxo inverso deve ser possível, do ERP informando o CRM</t>
  </si>
  <si>
    <t>Não há integração, deve ser feita manualmente em ambos os sistemas</t>
  </si>
  <si>
    <t>COMISSÃO</t>
  </si>
  <si>
    <t>PADRÃO</t>
  </si>
  <si>
    <t>Deve controlar o pagamento de comissão de acordo com o definido junto a imobiliária, sendo possível edição manual</t>
  </si>
  <si>
    <t>POR DENTRO DO CONTRATO</t>
  </si>
  <si>
    <t>Deve permitir que a comissão seja embutida no contrato de venda como parte do valor da imobiliária para repasse</t>
  </si>
  <si>
    <t>Todos os eventos do contrato devem emitir notificação por meio eletrônico</t>
  </si>
  <si>
    <t>Fornecedor informa que sim, mas não conseguimos simular</t>
  </si>
  <si>
    <t>Na notificação deve constar link que permita direcionamento direto para a ação ou informação vinculada</t>
  </si>
  <si>
    <t>MÉDIA DAS NOTAS</t>
  </si>
  <si>
    <t>Unificada 3, 2 e 1</t>
  </si>
  <si>
    <t>ELIMINIAÇÃO</t>
  </si>
  <si>
    <t>nota de corte</t>
  </si>
  <si>
    <t>Nota Final</t>
  </si>
  <si>
    <t>1,2,3</t>
  </si>
  <si>
    <t>NOTA FINAL</t>
  </si>
  <si>
    <t>peso</t>
  </si>
  <si>
    <t>Avalia o quanto o requisito é importante para o negócio da City</t>
  </si>
  <si>
    <t>Eliminatório (Must-have)</t>
  </si>
  <si>
    <t>Se não tiver de forma nativa ou comprovadamente atendida (configuração/módulo oficial), descarta o fornecedor. Sem isso, o sistema não atende o objetivo, compliance/segurança, ou o processo principal.</t>
  </si>
  <si>
    <t>Crítico para operação/adaptação</t>
  </si>
  <si>
    <t>Se faltar, o risco de implantação e adoção sobe muito: muda processo demais, cria gargalo, aumenta erro, compromete controles. Só aceitável se o fornecedor resolver com configuração robusta, módulo oficial ou integração sólida (sem “promessa”).</t>
  </si>
  <si>
    <t>Importante</t>
  </si>
  <si>
    <t>Entra forte na comparação entre fornecedores. Se faltar, gera custo/complexidade (customização, integrações, retrabalho) que precisa ser considerado no TCO, mas ainda pode ser viável comprar.</t>
  </si>
  <si>
    <t>Desejável</t>
  </si>
  <si>
    <t>Traz ganho claro, mas não é decisivo. Se faltar, dá para conviver com ajuste de processo ou complemento leve.</t>
  </si>
  <si>
    <t>Baixo valor na compra (Nice-to-have)</t>
  </si>
  <si>
    <t>Ajuda, mas não influencia a decisão. Pode ficar para “melhoria futura” ou solução paralela sem impacto.</t>
  </si>
  <si>
    <t>O que avaliar</t>
  </si>
  <si>
    <t>O que ter em mente no momento de dar a nota ao fornecedor quanto a um determinado requisito</t>
  </si>
  <si>
    <t>A</t>
  </si>
  <si>
    <t>Impacto no processo core (para o dia a dia rodar)</t>
  </si>
  <si>
    <t>B</t>
  </si>
  <si>
    <t>Risco (compliance, auditoria, segurança, fraude, LGPD, rastreabilidade)</t>
  </si>
  <si>
    <t>C</t>
  </si>
  <si>
    <t>Custo/complexidade de contorno (customização, integrações, operação manual)</t>
  </si>
  <si>
    <t>D</t>
  </si>
  <si>
    <t>Adoção (usuários conseguem trabalhar ou vão rejeitar)</t>
  </si>
  <si>
    <t>Notas</t>
  </si>
  <si>
    <t>Informa o quanto o fornecedor, olhando pelo prisma do que avaliar, atender o processo</t>
  </si>
  <si>
    <t>Atende completamente</t>
  </si>
  <si>
    <t>Atende quase tudo (lacunas pontuais)</t>
  </si>
  <si>
    <t>Atende o fluxo principal e a maioria dos cenários. Restam lacunas pontuais que não comprometem a operação, mas precisam ser tratadas (exceções específicas, detalhes de relatório/controle).</t>
  </si>
  <si>
    <t>Atende parcialmente (operável com lacunas relevantes)</t>
  </si>
  <si>
    <t>O processo roda em parte, mas existem lacunas que exigem ajustes operacionais relevantes (exceções não cobertas, controles faltando, etapas críticas ausentes).</t>
  </si>
  <si>
    <t>Atende muito pouco</t>
  </si>
  <si>
    <t>Cobre só partes isoladas, não sustenta o fluxo ponta a ponta do requisito. Falha em cenários comuns.</t>
  </si>
  <si>
    <t>Não atende</t>
  </si>
  <si>
    <t>Não executa o processo necessário para aquele requisito (não passa no cenário mínimo).</t>
  </si>
  <si>
    <t>Cobre o requisito ponta a ponta, incluindo cenários principais e exceções relevantes, com os controles/saídas esperadas.</t>
  </si>
  <si>
    <t>Regras</t>
  </si>
  <si>
    <t>Racional</t>
  </si>
  <si>
    <t>Resultado</t>
  </si>
  <si>
    <t>Peso 5 com nota inferior a 3 (0 a 4)</t>
  </si>
  <si>
    <t>Desclassificado</t>
  </si>
  <si>
    <t>Peso 4 com nota inferior a 3 (0 a 4)</t>
  </si>
  <si>
    <t>Zera a nota</t>
  </si>
  <si>
    <t>Peso 3, 2 e 1</t>
  </si>
  <si>
    <t>Mantém a nota</t>
  </si>
  <si>
    <t>Nota classificação final</t>
  </si>
  <si>
    <t>0,6 x Média(Nota5) + 0,3xMédia(Nota4) + 0,1*Média(Notas3,2,1)</t>
  </si>
  <si>
    <t>AN-TI</t>
  </si>
  <si>
    <t>Requisições de reserva aprovadas e ativas precisam de controle de tempo de vida.</t>
  </si>
  <si>
    <t>Requisições de reserva precisam ser aprovadas, mesmo que seja apenas quando forem a reserva "da vez"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</si>
</sst>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B0EF-2216-401A-994A-F7509C933615}">
  <dimension ref="A1:L96"/>
  <sheetViews>
    <sheetView workbookViewId="0"/>
  </sheetViews>
  <sheetFormatPr defaultRowHeight="15"/>
  <cols>
    <col min="1" max="1" width="15.140625" bestFit="1" customWidth="1"/>
    <col min="2" max="2" width="23.140625" bestFit="1" customWidth="1"/>
    <col min="3" max="3" width="45.140625" bestFit="1" customWidth="1"/>
    <col min="4" max="4" width="77.5703125" style="1" customWidth="1"/>
    <col min="6" max="6" width="34.7109375" bestFit="1" customWidth="1"/>
    <col min="7" max="7" width="38.85546875" style="1" customWidth="1"/>
    <col min="8" max="8" width="35.7109375" style="1" customWidth="1"/>
    <col min="12" max="12" width="37.85546875" customWidth="1"/>
  </cols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  <c r="L2" s="1"/>
    </row>
    <row r="3" spans="1:12">
      <c r="A3" t="s">
        <v>4</v>
      </c>
      <c r="B3" t="s">
        <v>5</v>
      </c>
      <c r="L3" s="1"/>
    </row>
    <row r="4" spans="1:12">
      <c r="A4" t="s">
        <v>6</v>
      </c>
      <c r="B4" s="3">
        <v>46055</v>
      </c>
      <c r="L4" s="1"/>
    </row>
    <row r="5" spans="1:12">
      <c r="A5" t="s">
        <v>7</v>
      </c>
      <c r="D5"/>
      <c r="F5" s="2"/>
      <c r="G5" s="1" t="s">
        <v>8</v>
      </c>
      <c r="I5" s="1"/>
      <c r="L5" s="1"/>
    </row>
    <row r="6" spans="1:12">
      <c r="D6"/>
      <c r="F6" s="2"/>
      <c r="I6" s="1"/>
      <c r="L6" s="1"/>
    </row>
    <row r="7" spans="1:12">
      <c r="A7" t="s">
        <v>9</v>
      </c>
      <c r="B7" t="s">
        <v>10</v>
      </c>
      <c r="C7" t="s">
        <v>11</v>
      </c>
      <c r="D7" s="1" t="s">
        <v>12</v>
      </c>
      <c r="E7" t="s">
        <v>13</v>
      </c>
      <c r="F7" t="s">
        <v>14</v>
      </c>
      <c r="G7" s="1" t="s">
        <v>15</v>
      </c>
      <c r="H7" s="1" t="s">
        <v>16</v>
      </c>
      <c r="I7" t="s">
        <v>17</v>
      </c>
    </row>
    <row r="8" spans="1:12" ht="60">
      <c r="A8" t="s">
        <v>18</v>
      </c>
      <c r="B8" t="s">
        <v>19</v>
      </c>
      <c r="C8" t="s">
        <v>20</v>
      </c>
      <c r="D8" s="1" t="s">
        <v>21</v>
      </c>
      <c r="E8">
        <v>5</v>
      </c>
      <c r="F8" t="str">
        <f>VLOOKUP(E8,REGRAS!$A$2:$B$6,2,FALSE)</f>
        <v>Eliminatório (Must-have)</v>
      </c>
      <c r="G8" s="1" t="s">
        <v>22</v>
      </c>
      <c r="H8" s="1" t="s">
        <v>23</v>
      </c>
      <c r="I8">
        <v>4</v>
      </c>
    </row>
    <row r="9" spans="1:12" ht="30">
      <c r="A9" t="s">
        <v>18</v>
      </c>
      <c r="B9" t="s">
        <v>19</v>
      </c>
      <c r="C9" t="s">
        <v>24</v>
      </c>
      <c r="D9" s="1" t="s">
        <v>25</v>
      </c>
      <c r="E9">
        <v>1</v>
      </c>
      <c r="F9" t="str">
        <f>VLOOKUP(E9,REGRAS!$A$2:$B$6,2,FALSE)</f>
        <v>Baixo valor na compra (Nice-to-have)</v>
      </c>
      <c r="G9" s="1" t="s">
        <v>26</v>
      </c>
      <c r="H9" s="1" t="s">
        <v>27</v>
      </c>
      <c r="I9">
        <v>2</v>
      </c>
    </row>
    <row r="10" spans="1:12">
      <c r="A10" t="s">
        <v>18</v>
      </c>
      <c r="B10" t="s">
        <v>19</v>
      </c>
      <c r="C10" t="s">
        <v>28</v>
      </c>
      <c r="D10" s="1" t="s">
        <v>29</v>
      </c>
      <c r="E10">
        <v>5</v>
      </c>
      <c r="F10" t="str">
        <f>VLOOKUP(E10,REGRAS!$A$2:$B$6,2,FALSE)</f>
        <v>Eliminatório (Must-have)</v>
      </c>
      <c r="G10" s="1" t="s">
        <v>30</v>
      </c>
      <c r="I10">
        <v>5</v>
      </c>
    </row>
    <row r="11" spans="1:12" ht="30">
      <c r="A11" t="s">
        <v>18</v>
      </c>
      <c r="B11" t="s">
        <v>19</v>
      </c>
      <c r="C11" t="s">
        <v>31</v>
      </c>
      <c r="D11" s="1" t="s">
        <v>32</v>
      </c>
      <c r="E11">
        <v>2</v>
      </c>
      <c r="F11" t="str">
        <f>VLOOKUP(E11,REGRAS!$A$2:$B$6,2,FALSE)</f>
        <v>Desejável</v>
      </c>
      <c r="G11" s="1" t="s">
        <v>33</v>
      </c>
      <c r="I11">
        <v>3</v>
      </c>
    </row>
    <row r="12" spans="1:12" ht="30">
      <c r="A12" t="s">
        <v>18</v>
      </c>
      <c r="B12" t="s">
        <v>19</v>
      </c>
      <c r="C12" t="s">
        <v>34</v>
      </c>
      <c r="D12" s="1" t="s">
        <v>35</v>
      </c>
      <c r="E12">
        <v>3</v>
      </c>
      <c r="F12" t="str">
        <f>VLOOKUP(E12,REGRAS!$A$2:$B$6,2,FALSE)</f>
        <v>Importante</v>
      </c>
      <c r="G12" s="1" t="s">
        <v>26</v>
      </c>
      <c r="H12" s="1" t="s">
        <v>36</v>
      </c>
      <c r="I12">
        <v>0</v>
      </c>
    </row>
    <row r="13" spans="1:12" ht="30">
      <c r="A13" t="s">
        <v>18</v>
      </c>
      <c r="B13" t="s">
        <v>19</v>
      </c>
      <c r="C13" t="s">
        <v>37</v>
      </c>
      <c r="D13" s="1" t="s">
        <v>38</v>
      </c>
      <c r="E13">
        <v>3</v>
      </c>
      <c r="F13" t="str">
        <f>VLOOKUP(E13,REGRAS!$A$2:$B$6,2,FALSE)</f>
        <v>Importante</v>
      </c>
      <c r="H13" s="1" t="s">
        <v>36</v>
      </c>
      <c r="I13">
        <v>0</v>
      </c>
    </row>
    <row r="14" spans="1:12" ht="45">
      <c r="A14" t="s">
        <v>18</v>
      </c>
      <c r="B14" t="s">
        <v>19</v>
      </c>
      <c r="C14" t="s">
        <v>39</v>
      </c>
      <c r="D14" s="1" t="s">
        <v>40</v>
      </c>
      <c r="E14">
        <v>5</v>
      </c>
      <c r="F14" t="str">
        <f>VLOOKUP(E14,REGRAS!$A$2:$B$6,2,FALSE)</f>
        <v>Eliminatório (Must-have)</v>
      </c>
      <c r="G14" s="1" t="s">
        <v>41</v>
      </c>
      <c r="H14" s="1" t="s">
        <v>42</v>
      </c>
      <c r="I14">
        <v>4</v>
      </c>
    </row>
    <row r="15" spans="1:12" ht="30">
      <c r="A15" t="s">
        <v>18</v>
      </c>
      <c r="B15" t="s">
        <v>19</v>
      </c>
      <c r="C15" t="s">
        <v>43</v>
      </c>
      <c r="D15" s="1" t="s">
        <v>44</v>
      </c>
      <c r="E15">
        <v>5</v>
      </c>
      <c r="F15" t="str">
        <f>VLOOKUP(E15,REGRAS!$A$2:$B$6,2,FALSE)</f>
        <v>Eliminatório (Must-have)</v>
      </c>
      <c r="G15" s="1" t="s">
        <v>45</v>
      </c>
      <c r="H15" s="1" t="s">
        <v>46</v>
      </c>
      <c r="I15">
        <v>3</v>
      </c>
    </row>
    <row r="16" spans="1:12">
      <c r="A16" t="s">
        <v>18</v>
      </c>
      <c r="B16" t="s">
        <v>19</v>
      </c>
      <c r="C16" t="s">
        <v>47</v>
      </c>
      <c r="D16" s="1" t="s">
        <v>48</v>
      </c>
      <c r="E16">
        <v>2</v>
      </c>
      <c r="F16" t="str">
        <f>VLOOKUP(E16,REGRAS!$A$2:$B$6,2,FALSE)</f>
        <v>Desejável</v>
      </c>
      <c r="H16" s="1" t="s">
        <v>49</v>
      </c>
      <c r="I16">
        <v>0</v>
      </c>
    </row>
    <row r="17" spans="1:9">
      <c r="A17" t="s">
        <v>18</v>
      </c>
      <c r="B17" t="s">
        <v>19</v>
      </c>
      <c r="C17" t="s">
        <v>50</v>
      </c>
      <c r="D17" s="1" t="s">
        <v>51</v>
      </c>
      <c r="E17">
        <v>3</v>
      </c>
      <c r="F17" t="str">
        <f>VLOOKUP(E17,REGRAS!$A$2:$B$6,2,FALSE)</f>
        <v>Importante</v>
      </c>
      <c r="H17" s="1" t="s">
        <v>49</v>
      </c>
      <c r="I17">
        <v>0</v>
      </c>
    </row>
    <row r="18" spans="1:9">
      <c r="A18" t="s">
        <v>18</v>
      </c>
      <c r="B18" t="s">
        <v>19</v>
      </c>
      <c r="C18" t="s">
        <v>52</v>
      </c>
      <c r="D18" s="1" t="s">
        <v>53</v>
      </c>
      <c r="E18">
        <v>3</v>
      </c>
      <c r="F18" t="str">
        <f>VLOOKUP(E18,REGRAS!$A$2:$B$6,2,FALSE)</f>
        <v>Importante</v>
      </c>
      <c r="G18" s="1" t="s">
        <v>26</v>
      </c>
      <c r="H18" s="1" t="s">
        <v>49</v>
      </c>
      <c r="I18">
        <v>0</v>
      </c>
    </row>
    <row r="19" spans="1:9" ht="45">
      <c r="A19" t="s">
        <v>18</v>
      </c>
      <c r="B19" t="s">
        <v>19</v>
      </c>
      <c r="C19" t="s">
        <v>54</v>
      </c>
      <c r="D19" s="1" t="s">
        <v>55</v>
      </c>
      <c r="E19">
        <v>4</v>
      </c>
      <c r="F19" t="str">
        <f>VLOOKUP(E19,REGRAS!$A$2:$B$6,2,FALSE)</f>
        <v>Crítico para operação/adaptação</v>
      </c>
      <c r="G19" s="1" t="s">
        <v>26</v>
      </c>
      <c r="H19" s="1" t="s">
        <v>56</v>
      </c>
      <c r="I19">
        <v>1</v>
      </c>
    </row>
    <row r="20" spans="1:9" ht="30">
      <c r="A20" t="s">
        <v>18</v>
      </c>
      <c r="B20" t="s">
        <v>57</v>
      </c>
      <c r="C20" t="s">
        <v>20</v>
      </c>
      <c r="D20" s="1" t="s">
        <v>58</v>
      </c>
      <c r="E20">
        <v>2</v>
      </c>
      <c r="F20" t="str">
        <f>VLOOKUP(E20,REGRAS!$A$2:$B$6,2,FALSE)</f>
        <v>Desejável</v>
      </c>
      <c r="G20" s="1" t="s">
        <v>59</v>
      </c>
      <c r="I20">
        <v>5</v>
      </c>
    </row>
    <row r="21" spans="1:9" ht="30">
      <c r="A21" t="s">
        <v>18</v>
      </c>
      <c r="B21" t="s">
        <v>57</v>
      </c>
      <c r="C21" t="s">
        <v>60</v>
      </c>
      <c r="D21" s="1" t="s">
        <v>61</v>
      </c>
      <c r="E21">
        <v>5</v>
      </c>
      <c r="F21" t="str">
        <f>VLOOKUP(E21,REGRAS!$A$2:$B$6,2,FALSE)</f>
        <v>Eliminatório (Must-have)</v>
      </c>
      <c r="G21" s="1" t="s">
        <v>62</v>
      </c>
      <c r="I21">
        <v>5</v>
      </c>
    </row>
    <row r="22" spans="1:9" ht="30">
      <c r="A22" t="s">
        <v>18</v>
      </c>
      <c r="B22" t="s">
        <v>57</v>
      </c>
      <c r="C22" t="s">
        <v>63</v>
      </c>
      <c r="D22" s="1" t="s">
        <v>64</v>
      </c>
      <c r="E22">
        <v>4</v>
      </c>
      <c r="F22" t="str">
        <f>VLOOKUP(E22,REGRAS!$A$2:$B$6,2,FALSE)</f>
        <v>Crítico para operação/adaptação</v>
      </c>
      <c r="G22" s="1" t="s">
        <v>65</v>
      </c>
      <c r="I22">
        <v>4</v>
      </c>
    </row>
    <row r="23" spans="1:9">
      <c r="A23" t="s">
        <v>18</v>
      </c>
      <c r="B23" t="s">
        <v>57</v>
      </c>
      <c r="C23" t="s">
        <v>66</v>
      </c>
      <c r="D23" s="1" t="s">
        <v>67</v>
      </c>
      <c r="E23">
        <v>3</v>
      </c>
      <c r="F23" t="str">
        <f>VLOOKUP(E23,REGRAS!$A$2:$B$6,2,FALSE)</f>
        <v>Importante</v>
      </c>
      <c r="G23" s="1" t="s">
        <v>68</v>
      </c>
      <c r="I23">
        <v>5</v>
      </c>
    </row>
    <row r="24" spans="1:9">
      <c r="A24" t="s">
        <v>18</v>
      </c>
      <c r="B24" t="s">
        <v>69</v>
      </c>
      <c r="C24" t="s">
        <v>70</v>
      </c>
      <c r="D24" s="1" t="s">
        <v>71</v>
      </c>
      <c r="E24">
        <v>5</v>
      </c>
      <c r="F24" t="str">
        <f>VLOOKUP(E24,REGRAS!$A$2:$B$6,2,FALSE)</f>
        <v>Eliminatório (Must-have)</v>
      </c>
      <c r="G24" s="1" t="s">
        <v>72</v>
      </c>
      <c r="H24" s="1" t="s">
        <v>26</v>
      </c>
      <c r="I24">
        <v>5</v>
      </c>
    </row>
    <row r="25" spans="1:9" ht="30">
      <c r="A25" t="s">
        <v>18</v>
      </c>
      <c r="B25" t="s">
        <v>69</v>
      </c>
      <c r="C25" t="s">
        <v>73</v>
      </c>
      <c r="D25" s="1" t="s">
        <v>74</v>
      </c>
      <c r="E25">
        <v>3</v>
      </c>
      <c r="F25" t="str">
        <f>VLOOKUP(E25,REGRAS!$A$2:$B$6,2,FALSE)</f>
        <v>Importante</v>
      </c>
      <c r="H25" s="1" t="s">
        <v>75</v>
      </c>
      <c r="I25">
        <v>0</v>
      </c>
    </row>
    <row r="26" spans="1:9" ht="30">
      <c r="A26" t="s">
        <v>18</v>
      </c>
      <c r="B26" t="s">
        <v>69</v>
      </c>
      <c r="C26" t="s">
        <v>76</v>
      </c>
      <c r="D26" s="1" t="s">
        <v>77</v>
      </c>
      <c r="E26">
        <v>4</v>
      </c>
      <c r="F26" t="str">
        <f>VLOOKUP(E26,REGRAS!$A$2:$B$6,2,FALSE)</f>
        <v>Crítico para operação/adaptação</v>
      </c>
      <c r="G26" s="1" t="s">
        <v>78</v>
      </c>
      <c r="I26">
        <v>5</v>
      </c>
    </row>
    <row r="27" spans="1:9" ht="30">
      <c r="A27" t="s">
        <v>18</v>
      </c>
      <c r="B27" t="s">
        <v>69</v>
      </c>
      <c r="C27" t="s">
        <v>79</v>
      </c>
      <c r="D27" s="1" t="s">
        <v>80</v>
      </c>
      <c r="E27">
        <v>3</v>
      </c>
      <c r="F27" t="str">
        <f>VLOOKUP(E27,REGRAS!$A$2:$B$6,2,FALSE)</f>
        <v>Importante</v>
      </c>
      <c r="G27" s="1" t="s">
        <v>81</v>
      </c>
      <c r="I27">
        <v>5</v>
      </c>
    </row>
    <row r="28" spans="1:9" ht="30">
      <c r="A28" t="s">
        <v>18</v>
      </c>
      <c r="B28" t="s">
        <v>69</v>
      </c>
      <c r="C28" t="s">
        <v>82</v>
      </c>
      <c r="D28" s="1" t="s">
        <v>83</v>
      </c>
      <c r="E28">
        <v>3</v>
      </c>
      <c r="F28" t="str">
        <f>VLOOKUP(E28,REGRAS!$A$2:$B$6,2,FALSE)</f>
        <v>Importante</v>
      </c>
      <c r="G28" s="1" t="s">
        <v>26</v>
      </c>
      <c r="H28" s="1" t="s">
        <v>84</v>
      </c>
      <c r="I28">
        <v>0</v>
      </c>
    </row>
    <row r="29" spans="1:9">
      <c r="A29" t="s">
        <v>18</v>
      </c>
      <c r="B29" t="s">
        <v>69</v>
      </c>
      <c r="C29" t="s">
        <v>85</v>
      </c>
      <c r="D29" s="1" t="s">
        <v>86</v>
      </c>
      <c r="E29">
        <v>3</v>
      </c>
      <c r="F29" t="str">
        <f>VLOOKUP(E29,REGRAS!$A$2:$B$6,2,FALSE)</f>
        <v>Importante</v>
      </c>
      <c r="H29" s="1" t="s">
        <v>84</v>
      </c>
      <c r="I29">
        <v>0</v>
      </c>
    </row>
    <row r="30" spans="1:9" ht="30">
      <c r="A30" t="s">
        <v>18</v>
      </c>
      <c r="B30" t="s">
        <v>69</v>
      </c>
      <c r="C30" t="s">
        <v>87</v>
      </c>
      <c r="D30" s="1" t="s">
        <v>88</v>
      </c>
      <c r="E30">
        <v>3</v>
      </c>
      <c r="F30" t="str">
        <f>VLOOKUP(E30,REGRAS!$A$2:$B$6,2,FALSE)</f>
        <v>Importante</v>
      </c>
      <c r="G30" s="1" t="s">
        <v>26</v>
      </c>
      <c r="H30" s="1" t="s">
        <v>84</v>
      </c>
      <c r="I30">
        <v>0</v>
      </c>
    </row>
    <row r="31" spans="1:9" ht="30">
      <c r="A31" t="s">
        <v>18</v>
      </c>
      <c r="B31" t="s">
        <v>69</v>
      </c>
      <c r="C31" t="s">
        <v>89</v>
      </c>
      <c r="D31" s="1" t="s">
        <v>90</v>
      </c>
      <c r="E31">
        <v>3</v>
      </c>
      <c r="F31" t="str">
        <f>VLOOKUP(E31,REGRAS!$A$2:$B$6,2,FALSE)</f>
        <v>Importante</v>
      </c>
      <c r="G31" s="1" t="s">
        <v>26</v>
      </c>
      <c r="H31" s="1" t="s">
        <v>91</v>
      </c>
      <c r="I31">
        <v>0</v>
      </c>
    </row>
    <row r="32" spans="1:9" ht="30">
      <c r="A32" t="s">
        <v>18</v>
      </c>
      <c r="B32" t="s">
        <v>69</v>
      </c>
      <c r="C32" t="s">
        <v>92</v>
      </c>
      <c r="D32" s="1" t="s">
        <v>93</v>
      </c>
      <c r="E32">
        <v>3</v>
      </c>
      <c r="F32" t="str">
        <f>VLOOKUP(E32,REGRAS!$A$2:$B$6,2,FALSE)</f>
        <v>Importante</v>
      </c>
      <c r="G32" s="1" t="s">
        <v>26</v>
      </c>
      <c r="H32" s="1" t="s">
        <v>94</v>
      </c>
      <c r="I32">
        <v>0</v>
      </c>
    </row>
    <row r="33" spans="1:9" ht="30">
      <c r="A33" t="s">
        <v>95</v>
      </c>
      <c r="B33" t="s">
        <v>18</v>
      </c>
      <c r="C33" t="s">
        <v>96</v>
      </c>
      <c r="D33" s="1" t="s">
        <v>97</v>
      </c>
      <c r="E33">
        <v>5</v>
      </c>
      <c r="F33" t="str">
        <f>VLOOKUP(E33,REGRAS!$A$2:$B$6,2,FALSE)</f>
        <v>Eliminatório (Must-have)</v>
      </c>
      <c r="G33" s="1" t="s">
        <v>98</v>
      </c>
      <c r="H33" s="1" t="s">
        <v>99</v>
      </c>
      <c r="I33">
        <v>3</v>
      </c>
    </row>
    <row r="34" spans="1:9" ht="45">
      <c r="A34" t="s">
        <v>95</v>
      </c>
      <c r="B34" t="s">
        <v>18</v>
      </c>
      <c r="C34" t="s">
        <v>100</v>
      </c>
      <c r="D34" s="1" t="s">
        <v>101</v>
      </c>
      <c r="E34">
        <v>2</v>
      </c>
      <c r="F34" t="str">
        <f>VLOOKUP(E34,REGRAS!$A$2:$B$6,2,FALSE)</f>
        <v>Desejável</v>
      </c>
      <c r="H34" s="1" t="s">
        <v>102</v>
      </c>
      <c r="I34">
        <v>0</v>
      </c>
    </row>
    <row r="35" spans="1:9" ht="30">
      <c r="A35" t="s">
        <v>95</v>
      </c>
      <c r="B35" t="s">
        <v>18</v>
      </c>
      <c r="C35" t="s">
        <v>103</v>
      </c>
      <c r="D35" s="1" t="s">
        <v>104</v>
      </c>
      <c r="E35">
        <v>5</v>
      </c>
      <c r="F35" t="str">
        <f>VLOOKUP(E35,REGRAS!$A$2:$B$6,2,FALSE)</f>
        <v>Eliminatório (Must-have)</v>
      </c>
      <c r="H35" s="1" t="s">
        <v>105</v>
      </c>
      <c r="I35">
        <v>0</v>
      </c>
    </row>
    <row r="36" spans="1:9" ht="60">
      <c r="A36" t="s">
        <v>95</v>
      </c>
      <c r="B36" t="s">
        <v>18</v>
      </c>
      <c r="C36" t="s">
        <v>106</v>
      </c>
      <c r="D36" s="1" t="s">
        <v>107</v>
      </c>
      <c r="E36">
        <v>4</v>
      </c>
      <c r="F36" t="str">
        <f>VLOOKUP(E36,REGRAS!$A$2:$B$6,2,FALSE)</f>
        <v>Crítico para operação/adaptação</v>
      </c>
      <c r="G36" s="1" t="s">
        <v>108</v>
      </c>
      <c r="H36" s="1" t="s">
        <v>109</v>
      </c>
      <c r="I36">
        <v>2</v>
      </c>
    </row>
    <row r="37" spans="1:9" ht="30">
      <c r="A37" t="s">
        <v>95</v>
      </c>
      <c r="B37" t="s">
        <v>18</v>
      </c>
      <c r="C37" t="s">
        <v>110</v>
      </c>
      <c r="D37" s="1" t="s">
        <v>111</v>
      </c>
      <c r="E37">
        <v>4</v>
      </c>
      <c r="F37" t="str">
        <f>VLOOKUP(E37,REGRAS!$A$2:$B$6,2,FALSE)</f>
        <v>Crítico para operação/adaptação</v>
      </c>
      <c r="H37" s="1" t="s">
        <v>112</v>
      </c>
      <c r="I37">
        <v>0</v>
      </c>
    </row>
    <row r="38" spans="1:9" ht="30">
      <c r="A38" t="s">
        <v>95</v>
      </c>
      <c r="B38" t="s">
        <v>18</v>
      </c>
      <c r="C38" t="s">
        <v>113</v>
      </c>
      <c r="D38" s="1" t="s">
        <v>114</v>
      </c>
      <c r="E38">
        <v>4</v>
      </c>
      <c r="F38" t="str">
        <f>VLOOKUP(E38,REGRAS!$A$2:$B$6,2,FALSE)</f>
        <v>Crítico para operação/adaptação</v>
      </c>
      <c r="H38" s="1" t="s">
        <v>115</v>
      </c>
      <c r="I38">
        <v>0</v>
      </c>
    </row>
    <row r="39" spans="1:9">
      <c r="A39" t="s">
        <v>95</v>
      </c>
      <c r="B39" t="s">
        <v>18</v>
      </c>
      <c r="C39" t="s">
        <v>116</v>
      </c>
      <c r="D39" s="1" t="s">
        <v>117</v>
      </c>
      <c r="E39">
        <v>2</v>
      </c>
      <c r="F39" t="str">
        <f>VLOOKUP(E39,REGRAS!$A$2:$B$6,2,FALSE)</f>
        <v>Desejável</v>
      </c>
      <c r="H39" s="1" t="s">
        <v>115</v>
      </c>
      <c r="I39">
        <v>0</v>
      </c>
    </row>
    <row r="40" spans="1:9">
      <c r="A40" t="s">
        <v>95</v>
      </c>
      <c r="B40" t="s">
        <v>18</v>
      </c>
      <c r="C40" t="s">
        <v>54</v>
      </c>
      <c r="D40" s="1" t="s">
        <v>118</v>
      </c>
      <c r="E40">
        <v>4</v>
      </c>
      <c r="F40" t="str">
        <f>VLOOKUP(E40,REGRAS!$A$2:$B$6,2,FALSE)</f>
        <v>Crítico para operação/adaptação</v>
      </c>
      <c r="H40" s="1" t="s">
        <v>119</v>
      </c>
      <c r="I40">
        <v>0</v>
      </c>
    </row>
    <row r="41" spans="1:9" ht="45">
      <c r="A41" t="s">
        <v>95</v>
      </c>
      <c r="B41" t="s">
        <v>120</v>
      </c>
      <c r="C41" t="s">
        <v>20</v>
      </c>
      <c r="D41" s="1" t="s">
        <v>121</v>
      </c>
      <c r="E41">
        <v>2</v>
      </c>
      <c r="F41" t="str">
        <f>VLOOKUP(E41,REGRAS!$A$2:$B$6,2,FALSE)</f>
        <v>Desejável</v>
      </c>
      <c r="H41" s="1" t="s">
        <v>122</v>
      </c>
      <c r="I41">
        <v>0</v>
      </c>
    </row>
    <row r="42" spans="1:9" ht="45">
      <c r="A42" t="s">
        <v>95</v>
      </c>
      <c r="B42" t="s">
        <v>123</v>
      </c>
      <c r="C42" t="s">
        <v>124</v>
      </c>
      <c r="D42" s="1" t="s">
        <v>125</v>
      </c>
      <c r="E42">
        <v>4</v>
      </c>
      <c r="F42" t="str">
        <f>VLOOKUP(E42,REGRAS!$A$2:$B$6,2,FALSE)</f>
        <v>Crítico para operação/adaptação</v>
      </c>
      <c r="G42" s="1" t="s">
        <v>126</v>
      </c>
      <c r="H42" s="1" t="s">
        <v>127</v>
      </c>
      <c r="I42">
        <v>2</v>
      </c>
    </row>
    <row r="43" spans="1:9" ht="30">
      <c r="A43" t="s">
        <v>95</v>
      </c>
      <c r="B43" t="s">
        <v>123</v>
      </c>
      <c r="C43" t="s">
        <v>128</v>
      </c>
      <c r="D43" s="1" t="s">
        <v>129</v>
      </c>
      <c r="E43">
        <v>2</v>
      </c>
      <c r="F43" t="str">
        <f>VLOOKUP(E43,REGRAS!$A$2:$B$6,2,FALSE)</f>
        <v>Desejável</v>
      </c>
      <c r="H43" s="1" t="s">
        <v>130</v>
      </c>
      <c r="I43">
        <v>0</v>
      </c>
    </row>
    <row r="44" spans="1:9" ht="45">
      <c r="A44" t="s">
        <v>95</v>
      </c>
      <c r="B44" t="s">
        <v>131</v>
      </c>
      <c r="C44" t="s">
        <v>132</v>
      </c>
      <c r="D44" s="1" t="s">
        <v>133</v>
      </c>
      <c r="E44">
        <v>1</v>
      </c>
      <c r="F44" t="str">
        <f>VLOOKUP(E44,REGRAS!$A$2:$B$6,2,FALSE)</f>
        <v>Baixo valor na compra (Nice-to-have)</v>
      </c>
      <c r="H44" s="1" t="s">
        <v>130</v>
      </c>
      <c r="I44">
        <v>0</v>
      </c>
    </row>
    <row r="45" spans="1:9">
      <c r="A45" t="s">
        <v>95</v>
      </c>
      <c r="B45" t="s">
        <v>131</v>
      </c>
      <c r="C45" t="s">
        <v>134</v>
      </c>
      <c r="D45" s="1" t="s">
        <v>135</v>
      </c>
      <c r="E45">
        <v>1</v>
      </c>
      <c r="F45" t="str">
        <f>VLOOKUP(E45,REGRAS!$A$2:$B$6,2,FALSE)</f>
        <v>Baixo valor na compra (Nice-to-have)</v>
      </c>
      <c r="H45" s="1" t="s">
        <v>130</v>
      </c>
      <c r="I45">
        <v>0</v>
      </c>
    </row>
    <row r="46" spans="1:9">
      <c r="A46" t="s">
        <v>95</v>
      </c>
      <c r="B46" t="s">
        <v>131</v>
      </c>
      <c r="C46" t="s">
        <v>136</v>
      </c>
      <c r="D46" s="1" t="s">
        <v>137</v>
      </c>
      <c r="E46">
        <v>1</v>
      </c>
      <c r="F46" t="str">
        <f>VLOOKUP(E46,REGRAS!$A$2:$B$6,2,FALSE)</f>
        <v>Baixo valor na compra (Nice-to-have)</v>
      </c>
      <c r="H46" s="1" t="s">
        <v>130</v>
      </c>
      <c r="I46">
        <v>0</v>
      </c>
    </row>
    <row r="47" spans="1:9" ht="30">
      <c r="A47" t="s">
        <v>95</v>
      </c>
      <c r="B47" t="s">
        <v>131</v>
      </c>
      <c r="C47" t="s">
        <v>138</v>
      </c>
      <c r="D47" s="1" t="s">
        <v>139</v>
      </c>
      <c r="E47">
        <v>1</v>
      </c>
      <c r="F47" t="str">
        <f>VLOOKUP(E47,REGRAS!$A$2:$B$6,2,FALSE)</f>
        <v>Baixo valor na compra (Nice-to-have)</v>
      </c>
      <c r="H47" s="1" t="s">
        <v>130</v>
      </c>
      <c r="I47">
        <v>0</v>
      </c>
    </row>
    <row r="48" spans="1:9">
      <c r="A48" t="s">
        <v>140</v>
      </c>
      <c r="B48" t="s">
        <v>141</v>
      </c>
      <c r="C48" t="s">
        <v>142</v>
      </c>
      <c r="D48" s="1" t="s">
        <v>143</v>
      </c>
      <c r="E48">
        <v>4</v>
      </c>
      <c r="F48" t="str">
        <f>VLOOKUP(E48,REGRAS!$A$2:$B$6,2,FALSE)</f>
        <v>Crítico para operação/adaptação</v>
      </c>
      <c r="H48" s="1" t="s">
        <v>144</v>
      </c>
      <c r="I48">
        <v>0</v>
      </c>
    </row>
    <row r="49" spans="1:9" ht="30">
      <c r="A49" t="s">
        <v>140</v>
      </c>
      <c r="B49" t="s">
        <v>141</v>
      </c>
      <c r="C49" t="s">
        <v>145</v>
      </c>
      <c r="D49" s="1" t="s">
        <v>146</v>
      </c>
      <c r="E49">
        <v>5</v>
      </c>
      <c r="F49" t="str">
        <f>VLOOKUP(E49,REGRAS!$A$2:$B$6,2,FALSE)</f>
        <v>Eliminatório (Must-have)</v>
      </c>
      <c r="G49" s="1" t="s">
        <v>147</v>
      </c>
      <c r="H49" s="1" t="s">
        <v>148</v>
      </c>
      <c r="I49">
        <v>4</v>
      </c>
    </row>
    <row r="50" spans="1:9" ht="45">
      <c r="A50" t="s">
        <v>140</v>
      </c>
      <c r="B50" t="s">
        <v>141</v>
      </c>
      <c r="C50" t="s">
        <v>149</v>
      </c>
      <c r="D50" s="1" t="s">
        <v>150</v>
      </c>
      <c r="E50">
        <v>3</v>
      </c>
      <c r="F50" t="str">
        <f>VLOOKUP(E50,REGRAS!$A$2:$B$6,2,FALSE)</f>
        <v>Importante</v>
      </c>
      <c r="H50" s="1" t="s">
        <v>130</v>
      </c>
      <c r="I50">
        <v>0</v>
      </c>
    </row>
    <row r="51" spans="1:9" ht="45">
      <c r="A51" t="s">
        <v>140</v>
      </c>
      <c r="B51" t="s">
        <v>20</v>
      </c>
      <c r="C51" t="s">
        <v>151</v>
      </c>
      <c r="D51" s="1" t="s">
        <v>152</v>
      </c>
      <c r="E51">
        <v>3</v>
      </c>
      <c r="F51" t="str">
        <f>VLOOKUP(E51,REGRAS!$A$2:$B$6,2,FALSE)</f>
        <v>Importante</v>
      </c>
      <c r="H51" s="1" t="s">
        <v>130</v>
      </c>
      <c r="I51">
        <v>0</v>
      </c>
    </row>
    <row r="52" spans="1:9" ht="45">
      <c r="A52" t="s">
        <v>140</v>
      </c>
      <c r="B52" t="s">
        <v>20</v>
      </c>
      <c r="C52" t="s">
        <v>153</v>
      </c>
      <c r="D52" s="1" t="s">
        <v>154</v>
      </c>
      <c r="E52">
        <v>3</v>
      </c>
      <c r="F52" t="str">
        <f>VLOOKUP(E52,REGRAS!$A$2:$B$6,2,FALSE)</f>
        <v>Importante</v>
      </c>
      <c r="H52" s="1" t="s">
        <v>130</v>
      </c>
      <c r="I52">
        <v>0</v>
      </c>
    </row>
    <row r="53" spans="1:9" ht="30">
      <c r="A53" t="s">
        <v>155</v>
      </c>
      <c r="B53" t="s">
        <v>95</v>
      </c>
      <c r="C53" t="s">
        <v>156</v>
      </c>
      <c r="D53" s="1" t="s">
        <v>157</v>
      </c>
      <c r="E53">
        <v>5</v>
      </c>
      <c r="F53" t="str">
        <f>VLOOKUP(E53,REGRAS!$A$2:$B$6,2,FALSE)</f>
        <v>Eliminatório (Must-have)</v>
      </c>
      <c r="G53" s="1" t="s">
        <v>158</v>
      </c>
      <c r="H53" s="1" t="s">
        <v>159</v>
      </c>
      <c r="I53">
        <v>3</v>
      </c>
    </row>
    <row r="54" spans="1:9">
      <c r="A54" t="s">
        <v>155</v>
      </c>
      <c r="B54" t="s">
        <v>160</v>
      </c>
      <c r="C54" t="s">
        <v>161</v>
      </c>
      <c r="D54" s="1" t="s">
        <v>162</v>
      </c>
      <c r="E54">
        <v>3</v>
      </c>
      <c r="F54" t="str">
        <f>VLOOKUP(E54,REGRAS!$A$2:$B$6,2,FALSE)</f>
        <v>Importante</v>
      </c>
      <c r="H54" s="1" t="s">
        <v>130</v>
      </c>
      <c r="I54">
        <v>0</v>
      </c>
    </row>
    <row r="55" spans="1:9">
      <c r="A55" t="s">
        <v>155</v>
      </c>
      <c r="B55" t="s">
        <v>140</v>
      </c>
      <c r="C55" t="s">
        <v>163</v>
      </c>
      <c r="D55" s="1" t="s">
        <v>164</v>
      </c>
      <c r="E55">
        <v>5</v>
      </c>
      <c r="F55" t="str">
        <f>VLOOKUP(E55,REGRAS!$A$2:$B$6,2,FALSE)</f>
        <v>Eliminatório (Must-have)</v>
      </c>
      <c r="G55" s="1" t="s">
        <v>158</v>
      </c>
      <c r="I55">
        <v>5</v>
      </c>
    </row>
    <row r="56" spans="1:9" ht="30">
      <c r="A56" t="s">
        <v>155</v>
      </c>
      <c r="B56" t="s">
        <v>165</v>
      </c>
      <c r="C56" t="s">
        <v>166</v>
      </c>
      <c r="D56" s="1" t="s">
        <v>167</v>
      </c>
      <c r="E56">
        <v>3</v>
      </c>
      <c r="F56" t="str">
        <f>VLOOKUP(E56,REGRAS!$A$2:$B$6,2,FALSE)</f>
        <v>Importante</v>
      </c>
      <c r="H56" s="1" t="s">
        <v>130</v>
      </c>
      <c r="I56">
        <v>0</v>
      </c>
    </row>
    <row r="57" spans="1:9">
      <c r="A57" t="s">
        <v>155</v>
      </c>
      <c r="B57" t="s">
        <v>165</v>
      </c>
      <c r="C57" t="s">
        <v>168</v>
      </c>
      <c r="D57" s="1" t="s">
        <v>169</v>
      </c>
      <c r="E57">
        <v>3</v>
      </c>
      <c r="F57" t="str">
        <f>VLOOKUP(E57,REGRAS!$A$2:$B$6,2,FALSE)</f>
        <v>Importante</v>
      </c>
      <c r="H57" s="1" t="s">
        <v>130</v>
      </c>
      <c r="I57">
        <v>0</v>
      </c>
    </row>
    <row r="58" spans="1:9">
      <c r="A58" t="s">
        <v>155</v>
      </c>
      <c r="B58" t="s">
        <v>165</v>
      </c>
      <c r="C58" t="s">
        <v>170</v>
      </c>
      <c r="D58" s="1" t="s">
        <v>171</v>
      </c>
      <c r="E58">
        <v>3</v>
      </c>
      <c r="F58" t="str">
        <f>VLOOKUP(E58,REGRAS!$A$2:$B$6,2,FALSE)</f>
        <v>Importante</v>
      </c>
      <c r="H58" s="1" t="s">
        <v>130</v>
      </c>
      <c r="I58">
        <v>0</v>
      </c>
    </row>
    <row r="59" spans="1:9" ht="30">
      <c r="A59" t="s">
        <v>155</v>
      </c>
      <c r="B59" t="s">
        <v>172</v>
      </c>
      <c r="C59" t="s">
        <v>173</v>
      </c>
      <c r="D59" s="1" t="s">
        <v>174</v>
      </c>
      <c r="E59">
        <v>5</v>
      </c>
      <c r="F59" t="str">
        <f>VLOOKUP(E59,REGRAS!$A$2:$B$6,2,FALSE)</f>
        <v>Eliminatório (Must-have)</v>
      </c>
      <c r="H59" s="1" t="s">
        <v>175</v>
      </c>
      <c r="I59">
        <v>4</v>
      </c>
    </row>
    <row r="60" spans="1:9" ht="30">
      <c r="A60" t="s">
        <v>172</v>
      </c>
      <c r="B60" t="s">
        <v>95</v>
      </c>
      <c r="C60" t="s">
        <v>156</v>
      </c>
      <c r="D60" s="1" t="s">
        <v>157</v>
      </c>
      <c r="E60">
        <v>5</v>
      </c>
      <c r="F60" t="str">
        <f>VLOOKUP(E60,REGRAS!$A$2:$B$6,2,FALSE)</f>
        <v>Eliminatório (Must-have)</v>
      </c>
      <c r="G60" s="1" t="s">
        <v>158</v>
      </c>
      <c r="H60" s="1" t="s">
        <v>159</v>
      </c>
      <c r="I60">
        <v>3</v>
      </c>
    </row>
    <row r="61" spans="1:9">
      <c r="A61" t="s">
        <v>172</v>
      </c>
      <c r="B61" t="s">
        <v>140</v>
      </c>
      <c r="C61" t="s">
        <v>163</v>
      </c>
      <c r="D61" s="1" t="s">
        <v>164</v>
      </c>
      <c r="E61">
        <v>5</v>
      </c>
      <c r="F61" t="str">
        <f>VLOOKUP(E61,REGRAS!$A$2:$B$6,2,FALSE)</f>
        <v>Eliminatório (Must-have)</v>
      </c>
      <c r="G61" s="1" t="s">
        <v>158</v>
      </c>
      <c r="I61">
        <v>5</v>
      </c>
    </row>
    <row r="62" spans="1:9" ht="30">
      <c r="A62" t="s">
        <v>172</v>
      </c>
      <c r="B62" t="s">
        <v>20</v>
      </c>
      <c r="C62" t="s">
        <v>176</v>
      </c>
      <c r="D62" s="1" t="s">
        <v>177</v>
      </c>
      <c r="E62">
        <v>3</v>
      </c>
      <c r="F62" t="str">
        <f>VLOOKUP(E62,REGRAS!$A$2:$B$6,2,FALSE)</f>
        <v>Importante</v>
      </c>
      <c r="H62" s="1" t="s">
        <v>130</v>
      </c>
      <c r="I62">
        <v>0</v>
      </c>
    </row>
    <row r="63" spans="1:9">
      <c r="A63" t="s">
        <v>172</v>
      </c>
      <c r="B63" t="s">
        <v>20</v>
      </c>
      <c r="C63" t="s">
        <v>178</v>
      </c>
      <c r="D63" s="1" t="s">
        <v>179</v>
      </c>
      <c r="E63">
        <v>3</v>
      </c>
      <c r="F63" t="str">
        <f>VLOOKUP(E63,REGRAS!$A$2:$B$6,2,FALSE)</f>
        <v>Importante</v>
      </c>
      <c r="H63" s="1" t="s">
        <v>130</v>
      </c>
      <c r="I63">
        <v>0</v>
      </c>
    </row>
    <row r="64" spans="1:9" ht="30">
      <c r="A64" t="s">
        <v>172</v>
      </c>
      <c r="B64" t="s">
        <v>165</v>
      </c>
      <c r="C64" t="s">
        <v>166</v>
      </c>
      <c r="D64" s="1" t="s">
        <v>167</v>
      </c>
      <c r="E64">
        <v>3</v>
      </c>
      <c r="F64" t="str">
        <f>VLOOKUP(E64,REGRAS!$A$2:$B$6,2,FALSE)</f>
        <v>Importante</v>
      </c>
      <c r="H64" s="1" t="s">
        <v>130</v>
      </c>
      <c r="I64">
        <v>0</v>
      </c>
    </row>
    <row r="65" spans="1:9">
      <c r="A65" t="s">
        <v>172</v>
      </c>
      <c r="B65" t="s">
        <v>165</v>
      </c>
      <c r="C65" t="s">
        <v>168</v>
      </c>
      <c r="D65" s="1" t="s">
        <v>169</v>
      </c>
      <c r="E65">
        <v>3</v>
      </c>
      <c r="F65" t="str">
        <f>VLOOKUP(E65,REGRAS!$A$2:$B$6,2,FALSE)</f>
        <v>Importante</v>
      </c>
      <c r="H65" s="1" t="s">
        <v>130</v>
      </c>
      <c r="I65">
        <v>0</v>
      </c>
    </row>
    <row r="66" spans="1:9">
      <c r="A66" t="s">
        <v>172</v>
      </c>
      <c r="B66" t="s">
        <v>165</v>
      </c>
      <c r="C66" t="s">
        <v>170</v>
      </c>
      <c r="D66" s="1" t="s">
        <v>171</v>
      </c>
      <c r="E66">
        <v>3</v>
      </c>
      <c r="F66" t="str">
        <f>VLOOKUP(E66,REGRAS!$A$2:$B$6,2,FALSE)</f>
        <v>Importante</v>
      </c>
      <c r="H66" s="1" t="s">
        <v>130</v>
      </c>
      <c r="I66">
        <v>0</v>
      </c>
    </row>
    <row r="67" spans="1:9" ht="30">
      <c r="A67" t="s">
        <v>172</v>
      </c>
      <c r="B67" t="s">
        <v>180</v>
      </c>
      <c r="C67" t="s">
        <v>181</v>
      </c>
      <c r="D67" s="1" t="s">
        <v>182</v>
      </c>
      <c r="E67">
        <v>4</v>
      </c>
      <c r="F67" t="str">
        <f>VLOOKUP(E67,REGRAS!$A$2:$B$6,2,FALSE)</f>
        <v>Crítico para operação/adaptação</v>
      </c>
      <c r="G67" s="1" t="s">
        <v>183</v>
      </c>
      <c r="I67">
        <v>4</v>
      </c>
    </row>
    <row r="68" spans="1:9" ht="45">
      <c r="A68" t="s">
        <v>172</v>
      </c>
      <c r="B68" t="s">
        <v>180</v>
      </c>
      <c r="C68" t="s">
        <v>184</v>
      </c>
      <c r="D68" s="1" t="s">
        <v>185</v>
      </c>
      <c r="E68">
        <v>4</v>
      </c>
      <c r="F68" t="str">
        <f>VLOOKUP(E68,REGRAS!$A$2:$B$6,2,FALSE)</f>
        <v>Crítico para operação/adaptação</v>
      </c>
      <c r="G68" s="1" t="s">
        <v>186</v>
      </c>
      <c r="H68" s="1" t="s">
        <v>187</v>
      </c>
      <c r="I68">
        <v>3</v>
      </c>
    </row>
    <row r="69" spans="1:9" ht="60">
      <c r="A69" t="s">
        <v>172</v>
      </c>
      <c r="B69" t="s">
        <v>180</v>
      </c>
      <c r="C69" t="s">
        <v>188</v>
      </c>
      <c r="D69" s="1" t="s">
        <v>189</v>
      </c>
      <c r="E69">
        <v>5</v>
      </c>
      <c r="F69" t="str">
        <f>VLOOKUP(E69,REGRAS!$A$2:$B$6,2,FALSE)</f>
        <v>Eliminatório (Must-have)</v>
      </c>
      <c r="G69" s="1" t="s">
        <v>190</v>
      </c>
      <c r="H69" s="1" t="s">
        <v>191</v>
      </c>
      <c r="I69">
        <v>1</v>
      </c>
    </row>
    <row r="70" spans="1:9">
      <c r="A70" t="s">
        <v>172</v>
      </c>
      <c r="B70" t="s">
        <v>180</v>
      </c>
      <c r="C70" t="s">
        <v>192</v>
      </c>
      <c r="D70" s="1" t="s">
        <v>193</v>
      </c>
      <c r="E70">
        <v>4</v>
      </c>
      <c r="F70" t="str">
        <f>VLOOKUP(E70,REGRAS!$A$2:$B$6,2,FALSE)</f>
        <v>Crítico para operação/adaptação</v>
      </c>
      <c r="G70" s="1" t="s">
        <v>194</v>
      </c>
      <c r="H70" s="1" t="s">
        <v>195</v>
      </c>
      <c r="I70">
        <v>1</v>
      </c>
    </row>
    <row r="71" spans="1:9" ht="30">
      <c r="A71" t="s">
        <v>172</v>
      </c>
      <c r="B71" t="s">
        <v>180</v>
      </c>
      <c r="C71" t="s">
        <v>196</v>
      </c>
      <c r="D71" s="1" t="s">
        <v>197</v>
      </c>
      <c r="E71">
        <v>2</v>
      </c>
      <c r="F71" t="str">
        <f>VLOOKUP(E71,REGRAS!$A$2:$B$6,2,FALSE)</f>
        <v>Desejável</v>
      </c>
      <c r="H71" s="1" t="s">
        <v>130</v>
      </c>
      <c r="I71">
        <v>0</v>
      </c>
    </row>
    <row r="72" spans="1:9">
      <c r="A72" t="s">
        <v>172</v>
      </c>
      <c r="B72" t="s">
        <v>198</v>
      </c>
      <c r="C72" t="s">
        <v>199</v>
      </c>
      <c r="D72" s="1" t="s">
        <v>200</v>
      </c>
      <c r="E72">
        <v>5</v>
      </c>
      <c r="F72" t="str">
        <f>VLOOKUP(E72,REGRAS!$A$2:$B$6,2,FALSE)</f>
        <v>Eliminatório (Must-have)</v>
      </c>
      <c r="G72" s="1" t="s">
        <v>190</v>
      </c>
      <c r="I72">
        <v>5</v>
      </c>
    </row>
    <row r="73" spans="1:9">
      <c r="A73" t="s">
        <v>172</v>
      </c>
      <c r="B73" t="s">
        <v>54</v>
      </c>
      <c r="C73" t="s">
        <v>54</v>
      </c>
      <c r="D73" s="1" t="s">
        <v>201</v>
      </c>
      <c r="E73">
        <v>3</v>
      </c>
      <c r="F73" t="str">
        <f>VLOOKUP(E73,REGRAS!$A$2:$B$6,2,FALSE)</f>
        <v>Importante</v>
      </c>
      <c r="H73" s="1" t="s">
        <v>130</v>
      </c>
      <c r="I73">
        <v>0</v>
      </c>
    </row>
    <row r="74" spans="1:9">
      <c r="A74" t="s">
        <v>198</v>
      </c>
      <c r="B74" t="s">
        <v>202</v>
      </c>
      <c r="C74" t="s">
        <v>203</v>
      </c>
      <c r="D74" s="1" t="s">
        <v>204</v>
      </c>
      <c r="E74">
        <v>4</v>
      </c>
      <c r="F74" t="str">
        <f>VLOOKUP(E74,REGRAS!$A$2:$B$6,2,FALSE)</f>
        <v>Crítico para operação/adaptação</v>
      </c>
      <c r="G74" s="1" t="s">
        <v>190</v>
      </c>
      <c r="I74">
        <v>5</v>
      </c>
    </row>
    <row r="75" spans="1:9" ht="30">
      <c r="A75" t="s">
        <v>198</v>
      </c>
      <c r="B75" t="s">
        <v>202</v>
      </c>
      <c r="C75" t="s">
        <v>205</v>
      </c>
      <c r="D75" s="1" t="s">
        <v>206</v>
      </c>
      <c r="E75">
        <v>2</v>
      </c>
      <c r="F75" t="str">
        <f>VLOOKUP(E75,REGRAS!$A$2:$B$6,2,FALSE)</f>
        <v>Desejável</v>
      </c>
      <c r="G75" s="1" t="s">
        <v>207</v>
      </c>
      <c r="I75">
        <v>3</v>
      </c>
    </row>
    <row r="76" spans="1:9">
      <c r="A76" t="s">
        <v>198</v>
      </c>
      <c r="B76" t="s">
        <v>202</v>
      </c>
      <c r="C76" t="s">
        <v>208</v>
      </c>
      <c r="D76" s="1" t="s">
        <v>209</v>
      </c>
      <c r="E76">
        <v>3</v>
      </c>
      <c r="F76" t="str">
        <f>VLOOKUP(E76,REGRAS!$A$2:$B$6,2,FALSE)</f>
        <v>Importante</v>
      </c>
      <c r="G76" s="1" t="s">
        <v>210</v>
      </c>
      <c r="I76">
        <v>4</v>
      </c>
    </row>
    <row r="77" spans="1:9">
      <c r="A77" t="s">
        <v>198</v>
      </c>
      <c r="B77" t="s">
        <v>202</v>
      </c>
      <c r="C77" t="s">
        <v>211</v>
      </c>
      <c r="D77" s="1" t="s">
        <v>212</v>
      </c>
      <c r="E77">
        <v>3</v>
      </c>
      <c r="F77" t="str">
        <f>VLOOKUP(E77,REGRAS!$A$2:$B$6,2,FALSE)</f>
        <v>Importante</v>
      </c>
      <c r="H77" s="1" t="s">
        <v>130</v>
      </c>
      <c r="I77">
        <v>0</v>
      </c>
    </row>
    <row r="78" spans="1:9">
      <c r="A78" t="s">
        <v>198</v>
      </c>
      <c r="B78" t="s">
        <v>202</v>
      </c>
      <c r="C78" t="s">
        <v>113</v>
      </c>
      <c r="D78" s="1" t="s">
        <v>213</v>
      </c>
      <c r="E78">
        <v>4</v>
      </c>
      <c r="F78" t="str">
        <f>VLOOKUP(E78,REGRAS!$A$2:$B$6,2,FALSE)</f>
        <v>Crítico para operação/adaptação</v>
      </c>
      <c r="G78" s="1" t="s">
        <v>190</v>
      </c>
      <c r="H78" s="1" t="s">
        <v>214</v>
      </c>
      <c r="I78">
        <v>4</v>
      </c>
    </row>
    <row r="79" spans="1:9">
      <c r="A79" t="s">
        <v>198</v>
      </c>
      <c r="B79" t="s">
        <v>215</v>
      </c>
      <c r="C79" t="s">
        <v>205</v>
      </c>
      <c r="D79" s="1" t="s">
        <v>206</v>
      </c>
      <c r="E79">
        <v>3</v>
      </c>
      <c r="F79" t="str">
        <f>VLOOKUP(E79,REGRAS!$A$2:$B$6,2,FALSE)</f>
        <v>Importante</v>
      </c>
      <c r="H79" s="1" t="s">
        <v>130</v>
      </c>
      <c r="I79">
        <v>0</v>
      </c>
    </row>
    <row r="80" spans="1:9">
      <c r="A80" t="s">
        <v>198</v>
      </c>
      <c r="B80" t="s">
        <v>215</v>
      </c>
      <c r="C80" t="s">
        <v>203</v>
      </c>
      <c r="D80" s="1" t="s">
        <v>204</v>
      </c>
      <c r="E80">
        <v>2</v>
      </c>
      <c r="F80" t="str">
        <f>VLOOKUP(E80,REGRAS!$A$2:$B$6,2,FALSE)</f>
        <v>Desejável</v>
      </c>
      <c r="H80" s="1" t="s">
        <v>130</v>
      </c>
      <c r="I80">
        <v>0</v>
      </c>
    </row>
    <row r="81" spans="1:9">
      <c r="A81" t="s">
        <v>198</v>
      </c>
      <c r="B81" t="s">
        <v>215</v>
      </c>
      <c r="C81" t="s">
        <v>113</v>
      </c>
      <c r="D81" s="1" t="s">
        <v>216</v>
      </c>
      <c r="E81">
        <v>2</v>
      </c>
      <c r="F81" t="str">
        <f>VLOOKUP(E81,REGRAS!$A$2:$B$6,2,FALSE)</f>
        <v>Desejável</v>
      </c>
      <c r="G81" s="1" t="s">
        <v>190</v>
      </c>
      <c r="H81" s="1" t="s">
        <v>214</v>
      </c>
      <c r="I81">
        <v>4</v>
      </c>
    </row>
    <row r="82" spans="1:9" ht="30">
      <c r="A82" t="s">
        <v>198</v>
      </c>
      <c r="B82" t="s">
        <v>208</v>
      </c>
      <c r="C82" t="s">
        <v>217</v>
      </c>
      <c r="D82" s="1" t="s">
        <v>218</v>
      </c>
      <c r="E82">
        <v>2</v>
      </c>
      <c r="F82" t="str">
        <f>VLOOKUP(E82,REGRAS!$A$2:$B$6,2,FALSE)</f>
        <v>Desejável</v>
      </c>
      <c r="H82" s="1" t="s">
        <v>130</v>
      </c>
      <c r="I82">
        <v>0</v>
      </c>
    </row>
    <row r="83" spans="1:9" ht="30">
      <c r="A83" t="s">
        <v>198</v>
      </c>
      <c r="B83" t="s">
        <v>198</v>
      </c>
      <c r="C83" t="s">
        <v>219</v>
      </c>
      <c r="D83" s="1" t="s">
        <v>220</v>
      </c>
      <c r="E83">
        <v>5</v>
      </c>
      <c r="F83" t="str">
        <f>VLOOKUP(E83,REGRAS!$A$2:$B$6,2,FALSE)</f>
        <v>Eliminatório (Must-have)</v>
      </c>
      <c r="G83" s="1" t="s">
        <v>190</v>
      </c>
      <c r="I83">
        <v>5</v>
      </c>
    </row>
    <row r="84" spans="1:9" ht="30">
      <c r="A84" t="s">
        <v>198</v>
      </c>
      <c r="B84" t="s">
        <v>198</v>
      </c>
      <c r="C84" t="s">
        <v>221</v>
      </c>
      <c r="D84" s="1" t="s">
        <v>222</v>
      </c>
      <c r="E84">
        <v>4</v>
      </c>
      <c r="F84" t="str">
        <f>VLOOKUP(E84,REGRAS!$A$2:$B$6,2,FALSE)</f>
        <v>Crítico para operação/adaptação</v>
      </c>
      <c r="G84" s="1" t="s">
        <v>190</v>
      </c>
      <c r="I84">
        <v>5</v>
      </c>
    </row>
    <row r="85" spans="1:9">
      <c r="A85" t="s">
        <v>198</v>
      </c>
      <c r="B85" t="s">
        <v>198</v>
      </c>
      <c r="C85" t="s">
        <v>223</v>
      </c>
      <c r="D85" s="1" t="s">
        <v>224</v>
      </c>
      <c r="E85">
        <v>4</v>
      </c>
      <c r="F85" t="str">
        <f>VLOOKUP(E85,REGRAS!$A$2:$B$6,2,FALSE)</f>
        <v>Crítico para operação/adaptação</v>
      </c>
      <c r="G85" s="1" t="s">
        <v>190</v>
      </c>
      <c r="I85">
        <v>5</v>
      </c>
    </row>
    <row r="86" spans="1:9" ht="30">
      <c r="A86" t="s">
        <v>198</v>
      </c>
      <c r="B86" t="s">
        <v>225</v>
      </c>
      <c r="C86" t="s">
        <v>226</v>
      </c>
      <c r="D86" s="1" t="s">
        <v>227</v>
      </c>
      <c r="E86">
        <v>3</v>
      </c>
      <c r="F86" t="str">
        <f>VLOOKUP(E86,REGRAS!$A$2:$B$6,2,FALSE)</f>
        <v>Importante</v>
      </c>
      <c r="G86" s="1" t="s">
        <v>190</v>
      </c>
      <c r="I86">
        <v>5</v>
      </c>
    </row>
    <row r="87" spans="1:9" ht="30">
      <c r="A87" t="s">
        <v>198</v>
      </c>
      <c r="B87" t="s">
        <v>225</v>
      </c>
      <c r="C87" t="s">
        <v>228</v>
      </c>
      <c r="D87" s="1" t="s">
        <v>229</v>
      </c>
      <c r="E87">
        <v>3</v>
      </c>
      <c r="F87" t="str">
        <f>VLOOKUP(E87,REGRAS!$A$2:$B$6,2,FALSE)</f>
        <v>Importante</v>
      </c>
      <c r="H87" s="1" t="s">
        <v>130</v>
      </c>
      <c r="I87">
        <v>0</v>
      </c>
    </row>
    <row r="88" spans="1:9" ht="30">
      <c r="A88" t="s">
        <v>198</v>
      </c>
      <c r="B88" t="s">
        <v>225</v>
      </c>
      <c r="C88" t="s">
        <v>230</v>
      </c>
      <c r="D88" s="1" t="s">
        <v>231</v>
      </c>
      <c r="E88">
        <v>3</v>
      </c>
      <c r="F88" t="str">
        <f>VLOOKUP(E88,REGRAS!$A$2:$B$6,2,FALSE)</f>
        <v>Importante</v>
      </c>
      <c r="H88" s="1" t="s">
        <v>130</v>
      </c>
      <c r="I88">
        <v>0</v>
      </c>
    </row>
    <row r="89" spans="1:9">
      <c r="A89" t="s">
        <v>198</v>
      </c>
      <c r="B89" t="s">
        <v>225</v>
      </c>
      <c r="C89" t="s">
        <v>232</v>
      </c>
      <c r="D89" s="1" t="s">
        <v>233</v>
      </c>
      <c r="E89">
        <v>3</v>
      </c>
      <c r="F89" t="str">
        <f>VLOOKUP(E89,REGRAS!$A$2:$B$6,2,FALSE)</f>
        <v>Importante</v>
      </c>
      <c r="H89" s="1" t="s">
        <v>130</v>
      </c>
      <c r="I89">
        <v>0</v>
      </c>
    </row>
    <row r="90" spans="1:9" ht="30">
      <c r="A90" t="s">
        <v>198</v>
      </c>
      <c r="B90" t="s">
        <v>225</v>
      </c>
      <c r="C90" t="s">
        <v>234</v>
      </c>
      <c r="D90" s="1" t="s">
        <v>235</v>
      </c>
      <c r="E90">
        <v>4</v>
      </c>
      <c r="F90" t="str">
        <f>VLOOKUP(E90,REGRAS!$A$2:$B$6,2,FALSE)</f>
        <v>Crítico para operação/adaptação</v>
      </c>
      <c r="G90" s="1" t="s">
        <v>236</v>
      </c>
      <c r="I90">
        <v>4</v>
      </c>
    </row>
    <row r="91" spans="1:9" ht="45">
      <c r="A91" t="s">
        <v>198</v>
      </c>
      <c r="B91" t="s">
        <v>237</v>
      </c>
      <c r="C91" t="s">
        <v>238</v>
      </c>
      <c r="D91" s="1" t="s">
        <v>239</v>
      </c>
      <c r="E91">
        <v>4</v>
      </c>
      <c r="F91" t="str">
        <f>VLOOKUP(E91,REGRAS!$A$2:$B$6,2,FALSE)</f>
        <v>Crítico para operação/adaptação</v>
      </c>
      <c r="G91" s="1" t="s">
        <v>240</v>
      </c>
      <c r="H91" s="1" t="s">
        <v>241</v>
      </c>
      <c r="I91">
        <v>4</v>
      </c>
    </row>
    <row r="92" spans="1:9" ht="45">
      <c r="A92" t="s">
        <v>198</v>
      </c>
      <c r="B92" t="s">
        <v>237</v>
      </c>
      <c r="C92" t="s">
        <v>242</v>
      </c>
      <c r="D92" s="1" t="s">
        <v>243</v>
      </c>
      <c r="E92">
        <v>4</v>
      </c>
      <c r="F92" t="str">
        <f>VLOOKUP(E92,REGRAS!$A$2:$B$6,2,FALSE)</f>
        <v>Crítico para operação/adaptação</v>
      </c>
      <c r="H92" s="1" t="s">
        <v>244</v>
      </c>
      <c r="I92">
        <v>0</v>
      </c>
    </row>
    <row r="93" spans="1:9" ht="30">
      <c r="A93" t="s">
        <v>198</v>
      </c>
      <c r="B93" t="s">
        <v>245</v>
      </c>
      <c r="C93" t="s">
        <v>246</v>
      </c>
      <c r="D93" s="1" t="s">
        <v>247</v>
      </c>
      <c r="E93">
        <v>4</v>
      </c>
      <c r="F93" t="str">
        <f>VLOOKUP(E93,REGRAS!$A$2:$B$6,2,FALSE)</f>
        <v>Crítico para operação/adaptação</v>
      </c>
      <c r="G93" s="1" t="s">
        <v>190</v>
      </c>
      <c r="I93">
        <v>5</v>
      </c>
    </row>
    <row r="94" spans="1:9" ht="30">
      <c r="A94" t="s">
        <v>198</v>
      </c>
      <c r="B94" t="s">
        <v>245</v>
      </c>
      <c r="C94" t="s">
        <v>248</v>
      </c>
      <c r="D94" s="1" t="s">
        <v>249</v>
      </c>
      <c r="E94">
        <v>3</v>
      </c>
      <c r="F94" t="str">
        <f>VLOOKUP(E94,REGRAS!$A$2:$B$6,2,FALSE)</f>
        <v>Importante</v>
      </c>
      <c r="G94" s="1" t="s">
        <v>190</v>
      </c>
      <c r="I94">
        <v>5</v>
      </c>
    </row>
    <row r="95" spans="1:9" ht="30">
      <c r="A95" t="s">
        <v>198</v>
      </c>
      <c r="B95" t="s">
        <v>123</v>
      </c>
      <c r="C95" t="s">
        <v>124</v>
      </c>
      <c r="D95" s="1" t="s">
        <v>250</v>
      </c>
      <c r="E95">
        <v>3</v>
      </c>
      <c r="F95" t="str">
        <f>VLOOKUP(E95,REGRAS!$A$2:$B$6,2,FALSE)</f>
        <v>Importante</v>
      </c>
      <c r="G95" s="1" t="s">
        <v>251</v>
      </c>
      <c r="I95">
        <v>1</v>
      </c>
    </row>
    <row r="96" spans="1:9" ht="30">
      <c r="A96" t="s">
        <v>198</v>
      </c>
      <c r="B96" t="s">
        <v>123</v>
      </c>
      <c r="C96" t="s">
        <v>128</v>
      </c>
      <c r="D96" s="1" t="s">
        <v>252</v>
      </c>
      <c r="E96">
        <v>2</v>
      </c>
      <c r="F96" t="str">
        <f>VLOOKUP(E96,REGRAS!$A$2:$B$6,2,FALSE)</f>
        <v>Desejável</v>
      </c>
      <c r="H96" s="1" t="s">
        <v>130</v>
      </c>
      <c r="I96">
        <v>0</v>
      </c>
    </row>
  </sheetData>
  <autoFilter ref="A7:I96" xr:uid="{A89FB0EF-2216-401A-994A-F7509C93361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7DD1-1A4A-4374-A9A2-394CD8B24E4E}">
  <dimension ref="B2:F19"/>
  <sheetViews>
    <sheetView tabSelected="1" workbookViewId="0">
      <selection activeCell="F14" sqref="F14"/>
    </sheetView>
  </sheetViews>
  <sheetFormatPr defaultRowHeight="15"/>
  <cols>
    <col min="2" max="2" width="11" customWidth="1"/>
    <col min="4" max="4" width="11.140625" bestFit="1" customWidth="1"/>
    <col min="5" max="5" width="10.5703125" bestFit="1" customWidth="1"/>
  </cols>
  <sheetData>
    <row r="2" spans="2:6">
      <c r="D2" t="s">
        <v>253</v>
      </c>
    </row>
    <row r="3" spans="2:6">
      <c r="B3">
        <v>5</v>
      </c>
      <c r="D3" s="5">
        <f>AVERAGEIF(HYPNOBOX!E:E,B3,HYPNOBOX!I:I)</f>
        <v>3.7647058823529411</v>
      </c>
    </row>
    <row r="4" spans="2:6">
      <c r="B4">
        <v>4</v>
      </c>
      <c r="D4" s="5">
        <f>AVERAGEIF(HYPNOBOX!E:E,B4,HYPNOBOX!I:I)</f>
        <v>2.7</v>
      </c>
    </row>
    <row r="5" spans="2:6">
      <c r="B5">
        <v>3</v>
      </c>
      <c r="D5" s="5">
        <f>AVERAGEIF(HYPNOBOX!E:E,B5,HYPNOBOX!I:I)</f>
        <v>0.73529411764705888</v>
      </c>
      <c r="E5">
        <f>COUNTIF(HYPNOBOX!E:E,3)</f>
        <v>34</v>
      </c>
      <c r="F5" s="5">
        <f>D5*E5</f>
        <v>25</v>
      </c>
    </row>
    <row r="6" spans="2:6">
      <c r="B6">
        <v>2</v>
      </c>
      <c r="D6" s="5">
        <f>AVERAGEIF(HYPNOBOX!E:E,B6,HYPNOBOX!I:I)</f>
        <v>1.1538461538461537</v>
      </c>
      <c r="E6">
        <f>COUNTIF(HYPNOBOX!E:E,2)</f>
        <v>13</v>
      </c>
      <c r="F6" s="5">
        <f>D6*E6</f>
        <v>14.999999999999998</v>
      </c>
    </row>
    <row r="7" spans="2:6">
      <c r="B7">
        <v>1</v>
      </c>
      <c r="D7" s="5">
        <f>AVERAGEIF(HYPNOBOX!E:E,B7,HYPNOBOX!I:I)</f>
        <v>0.4</v>
      </c>
      <c r="E7">
        <f>COUNTIF(HYPNOBOX!E:E,1)</f>
        <v>5</v>
      </c>
      <c r="F7" s="5">
        <f>D7*E7</f>
        <v>2</v>
      </c>
    </row>
    <row r="8" spans="2:6">
      <c r="B8" t="s">
        <v>254</v>
      </c>
      <c r="D8" s="5">
        <f>F8/E8</f>
        <v>0.80769230769230771</v>
      </c>
      <c r="E8">
        <f>SUM(E5:E7)</f>
        <v>52</v>
      </c>
      <c r="F8" s="5">
        <f>SUM(F5:F7)</f>
        <v>42</v>
      </c>
    </row>
    <row r="10" spans="2:6">
      <c r="B10" t="s">
        <v>255</v>
      </c>
      <c r="E10" t="s">
        <v>256</v>
      </c>
    </row>
    <row r="11" spans="2:6">
      <c r="B11">
        <v>5</v>
      </c>
      <c r="D11" t="str">
        <f>IF(COUNTIFS(HYPNOBOX!E:E,5,HYPNOBOX!I:I,"&lt;"&amp;E11)&gt;0,"ELIMINADO","OK")</f>
        <v>ELIMINADO</v>
      </c>
      <c r="E11">
        <v>4</v>
      </c>
    </row>
    <row r="12" spans="2:6">
      <c r="B12">
        <v>4</v>
      </c>
      <c r="D12" t="str">
        <f>IF(COUNTIFS(HYPNOBOX!E:E,5,HYPNOBOX!I:I,"&lt;"&amp;E12)&gt;0,"ELIMINADO","OK")</f>
        <v>ELIMINADO</v>
      </c>
      <c r="E12">
        <v>3</v>
      </c>
    </row>
    <row r="14" spans="2:6">
      <c r="B14" t="s">
        <v>257</v>
      </c>
    </row>
    <row r="15" spans="2:6">
      <c r="B15">
        <v>5</v>
      </c>
      <c r="C15">
        <v>0.6</v>
      </c>
      <c r="D15" s="5">
        <f>D3</f>
        <v>3.7647058823529411</v>
      </c>
      <c r="E15" s="5">
        <f>C15*D15</f>
        <v>2.2588235294117647</v>
      </c>
    </row>
    <row r="16" spans="2:6">
      <c r="B16">
        <v>4</v>
      </c>
      <c r="C16">
        <v>0.3</v>
      </c>
      <c r="D16" s="5">
        <f>D4</f>
        <v>2.7</v>
      </c>
      <c r="E16" s="5">
        <f>C16*D16</f>
        <v>0.81</v>
      </c>
    </row>
    <row r="17" spans="2:5">
      <c r="B17" t="s">
        <v>258</v>
      </c>
      <c r="C17">
        <v>0.1</v>
      </c>
      <c r="D17" s="5">
        <f>D8</f>
        <v>0.80769230769230771</v>
      </c>
      <c r="E17" s="5">
        <f>C17*D17</f>
        <v>8.0769230769230774E-2</v>
      </c>
    </row>
    <row r="19" spans="2:5">
      <c r="B19" t="s">
        <v>259</v>
      </c>
      <c r="E19" s="5">
        <f>IF(OR(D11="ELIMINADO",D12="ELIMINADO"),0,SUM(E15:E17))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DD03-8969-4CB2-8E27-B059861DAEB1}">
  <dimension ref="A1:C28"/>
  <sheetViews>
    <sheetView workbookViewId="0">
      <selection activeCell="C6" sqref="C6"/>
    </sheetView>
  </sheetViews>
  <sheetFormatPr defaultRowHeight="15"/>
  <cols>
    <col min="2" max="2" width="82.7109375" customWidth="1"/>
    <col min="3" max="3" width="113.7109375" style="1" customWidth="1"/>
    <col min="4" max="4" width="24" customWidth="1"/>
  </cols>
  <sheetData>
    <row r="1" spans="1:3">
      <c r="A1" t="s">
        <v>260</v>
      </c>
      <c r="B1" t="s">
        <v>261</v>
      </c>
    </row>
    <row r="2" spans="1:3" ht="30">
      <c r="A2">
        <v>5</v>
      </c>
      <c r="B2" t="s">
        <v>262</v>
      </c>
      <c r="C2" s="1" t="s">
        <v>263</v>
      </c>
    </row>
    <row r="3" spans="1:3" ht="45">
      <c r="A3">
        <v>4</v>
      </c>
      <c r="B3" s="1" t="s">
        <v>264</v>
      </c>
      <c r="C3" s="1" t="s">
        <v>265</v>
      </c>
    </row>
    <row r="4" spans="1:3" ht="30">
      <c r="A4">
        <v>3</v>
      </c>
      <c r="B4" s="1" t="s">
        <v>266</v>
      </c>
      <c r="C4" s="1" t="s">
        <v>267</v>
      </c>
    </row>
    <row r="5" spans="1:3">
      <c r="A5">
        <v>2</v>
      </c>
      <c r="B5" s="1" t="s">
        <v>268</v>
      </c>
      <c r="C5" s="1" t="s">
        <v>269</v>
      </c>
    </row>
    <row r="6" spans="1:3">
      <c r="A6">
        <v>1</v>
      </c>
      <c r="B6" s="1" t="s">
        <v>270</v>
      </c>
      <c r="C6" s="1" t="s">
        <v>271</v>
      </c>
    </row>
    <row r="8" spans="1:3" ht="30">
      <c r="A8" t="s">
        <v>272</v>
      </c>
      <c r="B8" s="1" t="s">
        <v>273</v>
      </c>
    </row>
    <row r="9" spans="1:3">
      <c r="A9" t="s">
        <v>274</v>
      </c>
      <c r="B9" s="4" t="s">
        <v>275</v>
      </c>
    </row>
    <row r="10" spans="1:3">
      <c r="A10" t="s">
        <v>276</v>
      </c>
      <c r="B10" t="s">
        <v>277</v>
      </c>
    </row>
    <row r="11" spans="1:3">
      <c r="A11" t="s">
        <v>278</v>
      </c>
      <c r="B11" t="s">
        <v>279</v>
      </c>
    </row>
    <row r="12" spans="1:3">
      <c r="A12" t="s">
        <v>280</v>
      </c>
      <c r="B12" t="s">
        <v>281</v>
      </c>
    </row>
    <row r="14" spans="1:3">
      <c r="A14" t="s">
        <v>282</v>
      </c>
      <c r="B14" t="s">
        <v>283</v>
      </c>
    </row>
    <row r="15" spans="1:3">
      <c r="A15">
        <v>5</v>
      </c>
      <c r="B15" t="s">
        <v>284</v>
      </c>
    </row>
    <row r="16" spans="1:3" ht="30">
      <c r="A16">
        <v>4</v>
      </c>
      <c r="B16" t="s">
        <v>285</v>
      </c>
      <c r="C16" s="1" t="s">
        <v>286</v>
      </c>
    </row>
    <row r="17" spans="1:3" ht="30">
      <c r="A17">
        <v>3</v>
      </c>
      <c r="B17" t="s">
        <v>287</v>
      </c>
      <c r="C17" s="1" t="s">
        <v>288</v>
      </c>
    </row>
    <row r="18" spans="1:3">
      <c r="A18">
        <v>2</v>
      </c>
      <c r="B18" t="s">
        <v>289</v>
      </c>
      <c r="C18" s="1" t="s">
        <v>290</v>
      </c>
    </row>
    <row r="19" spans="1:3">
      <c r="A19">
        <v>1</v>
      </c>
      <c r="B19" t="s">
        <v>291</v>
      </c>
      <c r="C19" s="1" t="s">
        <v>292</v>
      </c>
    </row>
    <row r="20" spans="1:3">
      <c r="C20" s="1" t="s">
        <v>293</v>
      </c>
    </row>
    <row r="22" spans="1:3">
      <c r="A22" t="s">
        <v>294</v>
      </c>
      <c r="B22" t="s">
        <v>295</v>
      </c>
      <c r="C22" s="1" t="s">
        <v>296</v>
      </c>
    </row>
    <row r="23" spans="1:3">
      <c r="B23" t="s">
        <v>297</v>
      </c>
      <c r="C23" s="1" t="s">
        <v>298</v>
      </c>
    </row>
    <row r="24" spans="1:3">
      <c r="B24" t="s">
        <v>299</v>
      </c>
      <c r="C24" s="1" t="s">
        <v>300</v>
      </c>
    </row>
    <row r="25" spans="1:3">
      <c r="B25" t="s">
        <v>301</v>
      </c>
      <c r="C25" s="1" t="s">
        <v>302</v>
      </c>
    </row>
    <row r="27" spans="1:3">
      <c r="A27" t="s">
        <v>257</v>
      </c>
      <c r="C27" s="1" t="s">
        <v>303</v>
      </c>
    </row>
    <row r="28" spans="1:3">
      <c r="B28" t="s">
        <v>304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44D1B-847C-47B7-BD1A-513CCBE32C22}">
  <dimension ref="A1:L94"/>
  <sheetViews>
    <sheetView workbookViewId="0">
      <selection activeCell="E8" sqref="E8:E94"/>
    </sheetView>
  </sheetViews>
  <sheetFormatPr defaultRowHeight="15"/>
  <cols>
    <col min="1" max="1" width="15.140625" bestFit="1" customWidth="1"/>
    <col min="2" max="2" width="23.140625" bestFit="1" customWidth="1"/>
    <col min="3" max="3" width="45.140625" bestFit="1" customWidth="1"/>
    <col min="4" max="4" width="89.85546875" style="1" customWidth="1"/>
    <col min="6" max="6" width="36.140625" customWidth="1"/>
    <col min="7" max="8" width="35.7109375" style="1" customWidth="1"/>
    <col min="12" max="12" width="37.85546875" customWidth="1"/>
  </cols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  <c r="L2" s="1"/>
    </row>
    <row r="3" spans="1:12">
      <c r="A3" t="s">
        <v>305</v>
      </c>
      <c r="B3" t="s">
        <v>5</v>
      </c>
      <c r="L3" s="1"/>
    </row>
    <row r="4" spans="1:12">
      <c r="A4" t="s">
        <v>6</v>
      </c>
      <c r="B4" s="3"/>
      <c r="L4" s="1"/>
    </row>
    <row r="5" spans="1:12">
      <c r="A5" t="s">
        <v>7</v>
      </c>
      <c r="D5"/>
      <c r="F5" s="2"/>
      <c r="G5" s="1" t="s">
        <v>8</v>
      </c>
      <c r="I5" s="1"/>
      <c r="L5" s="1"/>
    </row>
    <row r="6" spans="1:12">
      <c r="D6"/>
      <c r="F6" s="2"/>
      <c r="I6" s="1"/>
      <c r="L6" s="1"/>
    </row>
    <row r="7" spans="1:12">
      <c r="A7" t="s">
        <v>9</v>
      </c>
      <c r="B7" t="s">
        <v>10</v>
      </c>
      <c r="C7" t="s">
        <v>11</v>
      </c>
      <c r="D7" s="1" t="s">
        <v>12</v>
      </c>
      <c r="E7" t="s">
        <v>13</v>
      </c>
      <c r="F7" t="s">
        <v>14</v>
      </c>
      <c r="G7" s="1" t="s">
        <v>15</v>
      </c>
      <c r="H7" s="1" t="s">
        <v>16</v>
      </c>
      <c r="I7" t="s">
        <v>17</v>
      </c>
    </row>
    <row r="8" spans="1:12" ht="60">
      <c r="A8" t="s">
        <v>18</v>
      </c>
      <c r="B8" t="s">
        <v>19</v>
      </c>
      <c r="C8" t="s">
        <v>20</v>
      </c>
      <c r="D8" s="1" t="s">
        <v>21</v>
      </c>
      <c r="E8">
        <v>5</v>
      </c>
      <c r="F8" t="str">
        <f>VLOOKUP(E8,REGRAS!$A$2:$B$6,2,FALSE)</f>
        <v>Eliminatório (Must-have)</v>
      </c>
    </row>
    <row r="9" spans="1:12" ht="30">
      <c r="A9" t="s">
        <v>18</v>
      </c>
      <c r="B9" t="s">
        <v>19</v>
      </c>
      <c r="C9" t="s">
        <v>24</v>
      </c>
      <c r="D9" s="1" t="s">
        <v>25</v>
      </c>
      <c r="E9">
        <v>1</v>
      </c>
      <c r="F9" t="str">
        <f>VLOOKUP(E9,REGRAS!$A$2:$B$6,2,FALSE)</f>
        <v>Baixo valor na compra (Nice-to-have)</v>
      </c>
    </row>
    <row r="10" spans="1:12">
      <c r="A10" t="s">
        <v>18</v>
      </c>
      <c r="B10" t="s">
        <v>19</v>
      </c>
      <c r="C10" t="s">
        <v>28</v>
      </c>
      <c r="D10" s="1" t="s">
        <v>29</v>
      </c>
      <c r="E10">
        <v>5</v>
      </c>
      <c r="F10" t="str">
        <f>VLOOKUP(E10,REGRAS!$A$2:$B$6,2,FALSE)</f>
        <v>Eliminatório (Must-have)</v>
      </c>
    </row>
    <row r="11" spans="1:12">
      <c r="A11" t="s">
        <v>18</v>
      </c>
      <c r="B11" t="s">
        <v>19</v>
      </c>
      <c r="C11" t="s">
        <v>31</v>
      </c>
      <c r="D11" s="1" t="s">
        <v>32</v>
      </c>
      <c r="E11">
        <v>2</v>
      </c>
      <c r="F11" t="str">
        <f>VLOOKUP(E11,REGRAS!$A$2:$B$6,2,FALSE)</f>
        <v>Desejável</v>
      </c>
    </row>
    <row r="12" spans="1:12">
      <c r="A12" t="s">
        <v>18</v>
      </c>
      <c r="B12" t="s">
        <v>19</v>
      </c>
      <c r="C12" t="s">
        <v>34</v>
      </c>
      <c r="D12" s="1" t="s">
        <v>35</v>
      </c>
      <c r="E12">
        <v>3</v>
      </c>
      <c r="F12" t="str">
        <f>VLOOKUP(E12,REGRAS!$A$2:$B$6,2,FALSE)</f>
        <v>Importante</v>
      </c>
    </row>
    <row r="13" spans="1:12" ht="30">
      <c r="A13" t="s">
        <v>18</v>
      </c>
      <c r="B13" t="s">
        <v>19</v>
      </c>
      <c r="C13" t="s">
        <v>37</v>
      </c>
      <c r="D13" s="1" t="s">
        <v>38</v>
      </c>
      <c r="E13">
        <v>3</v>
      </c>
      <c r="F13" t="str">
        <f>VLOOKUP(E13,REGRAS!$A$2:$B$6,2,FALSE)</f>
        <v>Importante</v>
      </c>
    </row>
    <row r="14" spans="1:12">
      <c r="A14" t="s">
        <v>18</v>
      </c>
      <c r="B14" t="s">
        <v>19</v>
      </c>
      <c r="C14" t="s">
        <v>39</v>
      </c>
      <c r="D14" s="1" t="s">
        <v>40</v>
      </c>
      <c r="E14">
        <v>5</v>
      </c>
      <c r="F14" t="str">
        <f>VLOOKUP(E14,REGRAS!$A$2:$B$6,2,FALSE)</f>
        <v>Eliminatório (Must-have)</v>
      </c>
    </row>
    <row r="15" spans="1:12" ht="30">
      <c r="A15" t="s">
        <v>18</v>
      </c>
      <c r="B15" t="s">
        <v>19</v>
      </c>
      <c r="C15" t="s">
        <v>43</v>
      </c>
      <c r="D15" s="1" t="s">
        <v>44</v>
      </c>
      <c r="E15">
        <v>5</v>
      </c>
      <c r="F15" t="str">
        <f>VLOOKUP(E15,REGRAS!$A$2:$B$6,2,FALSE)</f>
        <v>Eliminatório (Must-have)</v>
      </c>
    </row>
    <row r="16" spans="1:12">
      <c r="A16" t="s">
        <v>18</v>
      </c>
      <c r="B16" t="s">
        <v>19</v>
      </c>
      <c r="C16" t="s">
        <v>47</v>
      </c>
      <c r="D16" s="1" t="s">
        <v>48</v>
      </c>
      <c r="E16">
        <v>2</v>
      </c>
      <c r="F16" t="str">
        <f>VLOOKUP(E16,REGRAS!$A$2:$B$6,2,FALSE)</f>
        <v>Desejável</v>
      </c>
    </row>
    <row r="17" spans="1:6">
      <c r="A17" t="s">
        <v>18</v>
      </c>
      <c r="B17" t="s">
        <v>19</v>
      </c>
      <c r="C17" t="s">
        <v>50</v>
      </c>
      <c r="D17" s="1" t="s">
        <v>51</v>
      </c>
      <c r="E17">
        <v>3</v>
      </c>
      <c r="F17" t="str">
        <f>VLOOKUP(E17,REGRAS!$A$2:$B$6,2,FALSE)</f>
        <v>Importante</v>
      </c>
    </row>
    <row r="18" spans="1:6">
      <c r="A18" t="s">
        <v>18</v>
      </c>
      <c r="B18" t="s">
        <v>19</v>
      </c>
      <c r="C18" t="s">
        <v>52</v>
      </c>
      <c r="D18" s="1" t="s">
        <v>53</v>
      </c>
      <c r="E18">
        <v>3</v>
      </c>
      <c r="F18" t="str">
        <f>VLOOKUP(E18,REGRAS!$A$2:$B$6,2,FALSE)</f>
        <v>Importante</v>
      </c>
    </row>
    <row r="19" spans="1:6" ht="30">
      <c r="A19" t="s">
        <v>18</v>
      </c>
      <c r="B19" t="s">
        <v>19</v>
      </c>
      <c r="C19" t="s">
        <v>54</v>
      </c>
      <c r="D19" s="1" t="s">
        <v>55</v>
      </c>
      <c r="E19">
        <v>4</v>
      </c>
      <c r="F19" t="str">
        <f>VLOOKUP(E19,REGRAS!$A$2:$B$6,2,FALSE)</f>
        <v>Crítico para operação/adaptação</v>
      </c>
    </row>
    <row r="20" spans="1:6" ht="30">
      <c r="A20" t="s">
        <v>18</v>
      </c>
      <c r="B20" t="s">
        <v>57</v>
      </c>
      <c r="C20" t="s">
        <v>20</v>
      </c>
      <c r="D20" s="1" t="s">
        <v>58</v>
      </c>
      <c r="E20">
        <v>2</v>
      </c>
      <c r="F20" t="str">
        <f>VLOOKUP(E20,REGRAS!$A$2:$B$6,2,FALSE)</f>
        <v>Desejável</v>
      </c>
    </row>
    <row r="21" spans="1:6">
      <c r="A21" t="s">
        <v>18</v>
      </c>
      <c r="B21" t="s">
        <v>57</v>
      </c>
      <c r="C21" t="s">
        <v>60</v>
      </c>
      <c r="D21" s="1" t="s">
        <v>61</v>
      </c>
      <c r="E21">
        <v>5</v>
      </c>
      <c r="F21" t="str">
        <f>VLOOKUP(E21,REGRAS!$A$2:$B$6,2,FALSE)</f>
        <v>Eliminatório (Must-have)</v>
      </c>
    </row>
    <row r="22" spans="1:6">
      <c r="A22" t="s">
        <v>18</v>
      </c>
      <c r="B22" t="s">
        <v>57</v>
      </c>
      <c r="C22" t="s">
        <v>63</v>
      </c>
      <c r="D22" s="1" t="s">
        <v>64</v>
      </c>
      <c r="E22">
        <v>4</v>
      </c>
      <c r="F22" t="str">
        <f>VLOOKUP(E22,REGRAS!$A$2:$B$6,2,FALSE)</f>
        <v>Crítico para operação/adaptação</v>
      </c>
    </row>
    <row r="23" spans="1:6">
      <c r="A23" t="s">
        <v>18</v>
      </c>
      <c r="B23" t="s">
        <v>57</v>
      </c>
      <c r="C23" t="s">
        <v>66</v>
      </c>
      <c r="D23" s="1" t="s">
        <v>67</v>
      </c>
      <c r="E23">
        <v>3</v>
      </c>
      <c r="F23" t="str">
        <f>VLOOKUP(E23,REGRAS!$A$2:$B$6,2,FALSE)</f>
        <v>Importante</v>
      </c>
    </row>
    <row r="24" spans="1:6">
      <c r="A24" t="s">
        <v>18</v>
      </c>
      <c r="B24" t="s">
        <v>69</v>
      </c>
      <c r="C24" t="s">
        <v>70</v>
      </c>
      <c r="D24" s="1" t="s">
        <v>71</v>
      </c>
      <c r="E24">
        <v>5</v>
      </c>
      <c r="F24" t="str">
        <f>VLOOKUP(E24,REGRAS!$A$2:$B$6,2,FALSE)</f>
        <v>Eliminatório (Must-have)</v>
      </c>
    </row>
    <row r="25" spans="1:6" ht="30">
      <c r="A25" t="s">
        <v>18</v>
      </c>
      <c r="B25" t="s">
        <v>69</v>
      </c>
      <c r="C25" t="s">
        <v>73</v>
      </c>
      <c r="D25" s="1" t="s">
        <v>74</v>
      </c>
      <c r="E25">
        <v>3</v>
      </c>
      <c r="F25" t="str">
        <f>VLOOKUP(E25,REGRAS!$A$2:$B$6,2,FALSE)</f>
        <v>Importante</v>
      </c>
    </row>
    <row r="26" spans="1:6">
      <c r="A26" t="s">
        <v>18</v>
      </c>
      <c r="B26" t="s">
        <v>69</v>
      </c>
      <c r="C26" t="s">
        <v>76</v>
      </c>
      <c r="D26" s="1" t="s">
        <v>77</v>
      </c>
      <c r="E26">
        <v>4</v>
      </c>
      <c r="F26" t="str">
        <f>VLOOKUP(E26,REGRAS!$A$2:$B$6,2,FALSE)</f>
        <v>Crítico para operação/adaptação</v>
      </c>
    </row>
    <row r="27" spans="1:6">
      <c r="A27" t="s">
        <v>18</v>
      </c>
      <c r="B27" t="s">
        <v>69</v>
      </c>
      <c r="C27" t="s">
        <v>79</v>
      </c>
      <c r="D27" s="1" t="s">
        <v>80</v>
      </c>
      <c r="E27">
        <v>3</v>
      </c>
      <c r="F27" t="str">
        <f>VLOOKUP(E27,REGRAS!$A$2:$B$6,2,FALSE)</f>
        <v>Importante</v>
      </c>
    </row>
    <row r="28" spans="1:6">
      <c r="A28" t="s">
        <v>18</v>
      </c>
      <c r="B28" t="s">
        <v>69</v>
      </c>
      <c r="C28" t="s">
        <v>82</v>
      </c>
      <c r="D28" s="1" t="s">
        <v>83</v>
      </c>
      <c r="E28">
        <v>3</v>
      </c>
      <c r="F28" t="str">
        <f>VLOOKUP(E28,REGRAS!$A$2:$B$6,2,FALSE)</f>
        <v>Importante</v>
      </c>
    </row>
    <row r="29" spans="1:6">
      <c r="A29" t="s">
        <v>18</v>
      </c>
      <c r="B29" t="s">
        <v>69</v>
      </c>
      <c r="C29" t="s">
        <v>85</v>
      </c>
      <c r="D29" s="1" t="s">
        <v>86</v>
      </c>
      <c r="E29">
        <v>3</v>
      </c>
      <c r="F29" t="str">
        <f>VLOOKUP(E29,REGRAS!$A$2:$B$6,2,FALSE)</f>
        <v>Importante</v>
      </c>
    </row>
    <row r="30" spans="1:6" ht="30">
      <c r="A30" t="s">
        <v>18</v>
      </c>
      <c r="B30" t="s">
        <v>69</v>
      </c>
      <c r="C30" t="s">
        <v>87</v>
      </c>
      <c r="D30" s="1" t="s">
        <v>88</v>
      </c>
      <c r="E30">
        <v>3</v>
      </c>
      <c r="F30" t="str">
        <f>VLOOKUP(E30,REGRAS!$A$2:$B$6,2,FALSE)</f>
        <v>Importante</v>
      </c>
    </row>
    <row r="31" spans="1:6">
      <c r="A31" t="s">
        <v>18</v>
      </c>
      <c r="B31" t="s">
        <v>69</v>
      </c>
      <c r="C31" t="s">
        <v>89</v>
      </c>
      <c r="D31" s="1" t="s">
        <v>90</v>
      </c>
      <c r="E31">
        <v>3</v>
      </c>
      <c r="F31" t="str">
        <f>VLOOKUP(E31,REGRAS!$A$2:$B$6,2,FALSE)</f>
        <v>Importante</v>
      </c>
    </row>
    <row r="32" spans="1:6">
      <c r="A32" t="s">
        <v>18</v>
      </c>
      <c r="B32" t="s">
        <v>69</v>
      </c>
      <c r="C32" t="s">
        <v>92</v>
      </c>
      <c r="D32" s="1" t="s">
        <v>93</v>
      </c>
      <c r="E32">
        <v>3</v>
      </c>
      <c r="F32" t="str">
        <f>VLOOKUP(E32,REGRAS!$A$2:$B$6,2,FALSE)</f>
        <v>Importante</v>
      </c>
    </row>
    <row r="33" spans="1:6" ht="30">
      <c r="A33" t="s">
        <v>95</v>
      </c>
      <c r="B33" t="s">
        <v>18</v>
      </c>
      <c r="C33" t="s">
        <v>96</v>
      </c>
      <c r="D33" s="1" t="s">
        <v>97</v>
      </c>
      <c r="E33">
        <v>5</v>
      </c>
      <c r="F33" t="str">
        <f>VLOOKUP(E33,REGRAS!$A$2:$B$6,2,FALSE)</f>
        <v>Eliminatório (Must-have)</v>
      </c>
    </row>
    <row r="34" spans="1:6" ht="30">
      <c r="A34" t="s">
        <v>95</v>
      </c>
      <c r="B34" t="s">
        <v>18</v>
      </c>
      <c r="C34" t="s">
        <v>100</v>
      </c>
      <c r="D34" s="1" t="s">
        <v>101</v>
      </c>
      <c r="E34">
        <v>2</v>
      </c>
      <c r="F34" t="str">
        <f>VLOOKUP(E34,REGRAS!$A$2:$B$6,2,FALSE)</f>
        <v>Desejável</v>
      </c>
    </row>
    <row r="35" spans="1:6" ht="30">
      <c r="A35" t="s">
        <v>95</v>
      </c>
      <c r="B35" t="s">
        <v>18</v>
      </c>
      <c r="C35" t="s">
        <v>103</v>
      </c>
      <c r="D35" s="1" t="s">
        <v>104</v>
      </c>
      <c r="E35">
        <v>4</v>
      </c>
      <c r="F35" t="str">
        <f>VLOOKUP(E35,REGRAS!$A$2:$B$6,2,FALSE)</f>
        <v>Crítico para operação/adaptação</v>
      </c>
    </row>
    <row r="36" spans="1:6">
      <c r="A36" t="s">
        <v>95</v>
      </c>
      <c r="B36" t="s">
        <v>18</v>
      </c>
      <c r="C36" t="s">
        <v>106</v>
      </c>
      <c r="D36" s="1" t="s">
        <v>306</v>
      </c>
      <c r="E36">
        <v>4</v>
      </c>
      <c r="F36" t="str">
        <f>VLOOKUP(E36,REGRAS!$A$2:$B$6,2,FALSE)</f>
        <v>Crítico para operação/adaptação</v>
      </c>
    </row>
    <row r="37" spans="1:6">
      <c r="A37" t="s">
        <v>95</v>
      </c>
      <c r="B37" t="s">
        <v>18</v>
      </c>
      <c r="C37" t="s">
        <v>110</v>
      </c>
      <c r="D37" s="1" t="s">
        <v>306</v>
      </c>
      <c r="E37">
        <v>3</v>
      </c>
      <c r="F37" t="str">
        <f>VLOOKUP(E37,REGRAS!$A$2:$B$6,2,FALSE)</f>
        <v>Importante</v>
      </c>
    </row>
    <row r="38" spans="1:6" ht="30">
      <c r="A38" t="s">
        <v>95</v>
      </c>
      <c r="B38" t="s">
        <v>18</v>
      </c>
      <c r="C38" t="s">
        <v>113</v>
      </c>
      <c r="D38" s="1" t="s">
        <v>307</v>
      </c>
      <c r="E38">
        <v>4</v>
      </c>
      <c r="F38" t="str">
        <f>VLOOKUP(E38,REGRAS!$A$2:$B$6,2,FALSE)</f>
        <v>Crítico para operação/adaptação</v>
      </c>
    </row>
    <row r="39" spans="1:6">
      <c r="A39" t="s">
        <v>95</v>
      </c>
      <c r="B39" t="s">
        <v>18</v>
      </c>
      <c r="C39" t="s">
        <v>116</v>
      </c>
      <c r="D39" s="1" t="s">
        <v>117</v>
      </c>
      <c r="E39">
        <v>2</v>
      </c>
      <c r="F39" t="str">
        <f>VLOOKUP(E39,REGRAS!$A$2:$B$6,2,FALSE)</f>
        <v>Desejável</v>
      </c>
    </row>
    <row r="40" spans="1:6">
      <c r="A40" t="s">
        <v>95</v>
      </c>
      <c r="B40" t="s">
        <v>18</v>
      </c>
      <c r="C40" t="s">
        <v>54</v>
      </c>
      <c r="D40" s="1" t="s">
        <v>118</v>
      </c>
      <c r="E40">
        <v>4</v>
      </c>
      <c r="F40" t="str">
        <f>VLOOKUP(E40,REGRAS!$A$2:$B$6,2,FALSE)</f>
        <v>Crítico para operação/adaptação</v>
      </c>
    </row>
    <row r="41" spans="1:6" ht="45">
      <c r="A41" t="s">
        <v>95</v>
      </c>
      <c r="B41" t="s">
        <v>120</v>
      </c>
      <c r="C41" t="s">
        <v>20</v>
      </c>
      <c r="D41" s="1" t="s">
        <v>121</v>
      </c>
      <c r="E41">
        <v>2</v>
      </c>
      <c r="F41" t="str">
        <f>VLOOKUP(E41,REGRAS!$A$2:$B$6,2,FALSE)</f>
        <v>Desejável</v>
      </c>
    </row>
    <row r="42" spans="1:6">
      <c r="A42" t="s">
        <v>95</v>
      </c>
      <c r="B42" t="s">
        <v>123</v>
      </c>
      <c r="C42" t="s">
        <v>124</v>
      </c>
      <c r="D42" s="1" t="s">
        <v>125</v>
      </c>
      <c r="E42">
        <v>4</v>
      </c>
      <c r="F42" t="str">
        <f>VLOOKUP(E42,REGRAS!$A$2:$B$6,2,FALSE)</f>
        <v>Crítico para operação/adaptação</v>
      </c>
    </row>
    <row r="43" spans="1:6" ht="30">
      <c r="A43" t="s">
        <v>95</v>
      </c>
      <c r="B43" t="s">
        <v>123</v>
      </c>
      <c r="C43" t="s">
        <v>128</v>
      </c>
      <c r="D43" s="1" t="s">
        <v>129</v>
      </c>
      <c r="E43">
        <v>2</v>
      </c>
      <c r="F43" t="str">
        <f>VLOOKUP(E43,REGRAS!$A$2:$B$6,2,FALSE)</f>
        <v>Desejável</v>
      </c>
    </row>
    <row r="44" spans="1:6" ht="45">
      <c r="A44" t="s">
        <v>95</v>
      </c>
      <c r="B44" t="s">
        <v>131</v>
      </c>
      <c r="C44" t="s">
        <v>132</v>
      </c>
      <c r="D44" s="1" t="s">
        <v>133</v>
      </c>
      <c r="E44">
        <v>1</v>
      </c>
      <c r="F44" t="str">
        <f>VLOOKUP(E44,REGRAS!$A$2:$B$6,2,FALSE)</f>
        <v>Baixo valor na compra (Nice-to-have)</v>
      </c>
    </row>
    <row r="45" spans="1:6">
      <c r="A45" t="s">
        <v>95</v>
      </c>
      <c r="B45" t="s">
        <v>131</v>
      </c>
      <c r="C45" t="s">
        <v>134</v>
      </c>
      <c r="D45" s="1" t="s">
        <v>135</v>
      </c>
      <c r="E45">
        <v>1</v>
      </c>
      <c r="F45" t="str">
        <f>VLOOKUP(E45,REGRAS!$A$2:$B$6,2,FALSE)</f>
        <v>Baixo valor na compra (Nice-to-have)</v>
      </c>
    </row>
    <row r="46" spans="1:6">
      <c r="A46" t="s">
        <v>95</v>
      </c>
      <c r="B46" t="s">
        <v>131</v>
      </c>
      <c r="C46" t="s">
        <v>136</v>
      </c>
      <c r="D46" s="1" t="s">
        <v>137</v>
      </c>
      <c r="E46">
        <v>1</v>
      </c>
      <c r="F46" t="str">
        <f>VLOOKUP(E46,REGRAS!$A$2:$B$6,2,FALSE)</f>
        <v>Baixo valor na compra (Nice-to-have)</v>
      </c>
    </row>
    <row r="47" spans="1:6" ht="30">
      <c r="A47" t="s">
        <v>95</v>
      </c>
      <c r="B47" t="s">
        <v>131</v>
      </c>
      <c r="C47" t="s">
        <v>138</v>
      </c>
      <c r="D47" s="1" t="s">
        <v>139</v>
      </c>
      <c r="E47">
        <v>1</v>
      </c>
      <c r="F47" t="str">
        <f>VLOOKUP(E47,REGRAS!$A$2:$B$6,2,FALSE)</f>
        <v>Baixo valor na compra (Nice-to-have)</v>
      </c>
    </row>
    <row r="48" spans="1:6">
      <c r="A48" t="s">
        <v>140</v>
      </c>
      <c r="B48" t="s">
        <v>141</v>
      </c>
      <c r="C48" t="s">
        <v>142</v>
      </c>
      <c r="D48" s="1" t="s">
        <v>143</v>
      </c>
      <c r="E48">
        <v>4</v>
      </c>
      <c r="F48" t="str">
        <f>VLOOKUP(E48,REGRAS!$A$2:$B$6,2,FALSE)</f>
        <v>Crítico para operação/adaptação</v>
      </c>
    </row>
    <row r="49" spans="1:6">
      <c r="A49" t="s">
        <v>140</v>
      </c>
      <c r="B49" t="s">
        <v>141</v>
      </c>
      <c r="C49" t="s">
        <v>145</v>
      </c>
      <c r="D49" s="1" t="s">
        <v>146</v>
      </c>
      <c r="E49">
        <v>5</v>
      </c>
      <c r="F49" t="str">
        <f>VLOOKUP(E49,REGRAS!$A$2:$B$6,2,FALSE)</f>
        <v>Eliminatório (Must-have)</v>
      </c>
    </row>
    <row r="50" spans="1:6" ht="30">
      <c r="A50" t="s">
        <v>140</v>
      </c>
      <c r="B50" t="s">
        <v>141</v>
      </c>
      <c r="C50" t="s">
        <v>149</v>
      </c>
      <c r="D50" s="1" t="s">
        <v>150</v>
      </c>
      <c r="E50">
        <v>3</v>
      </c>
      <c r="F50" t="str">
        <f>VLOOKUP(E50,REGRAS!$A$2:$B$6,2,FALSE)</f>
        <v>Importante</v>
      </c>
    </row>
    <row r="51" spans="1:6" ht="30">
      <c r="A51" t="s">
        <v>140</v>
      </c>
      <c r="B51" t="s">
        <v>20</v>
      </c>
      <c r="C51" t="s">
        <v>151</v>
      </c>
      <c r="D51" s="1" t="s">
        <v>152</v>
      </c>
      <c r="E51">
        <v>3</v>
      </c>
      <c r="F51" t="str">
        <f>VLOOKUP(E51,REGRAS!$A$2:$B$6,2,FALSE)</f>
        <v>Importante</v>
      </c>
    </row>
    <row r="52" spans="1:6" ht="30">
      <c r="A52" t="s">
        <v>140</v>
      </c>
      <c r="B52" t="s">
        <v>20</v>
      </c>
      <c r="C52" t="s">
        <v>153</v>
      </c>
      <c r="D52" s="1" t="s">
        <v>154</v>
      </c>
      <c r="E52">
        <v>3</v>
      </c>
      <c r="F52" t="str">
        <f>VLOOKUP(E52,REGRAS!$A$2:$B$6,2,FALSE)</f>
        <v>Importante</v>
      </c>
    </row>
    <row r="53" spans="1:6">
      <c r="A53" t="s">
        <v>155</v>
      </c>
      <c r="B53" t="s">
        <v>95</v>
      </c>
      <c r="C53" t="s">
        <v>156</v>
      </c>
      <c r="D53" s="1" t="s">
        <v>157</v>
      </c>
      <c r="E53">
        <v>5</v>
      </c>
      <c r="F53" t="str">
        <f>VLOOKUP(E53,REGRAS!$A$2:$B$6,2,FALSE)</f>
        <v>Eliminatório (Must-have)</v>
      </c>
    </row>
    <row r="54" spans="1:6">
      <c r="A54" t="s">
        <v>155</v>
      </c>
      <c r="B54" t="s">
        <v>160</v>
      </c>
      <c r="C54" t="s">
        <v>161</v>
      </c>
      <c r="D54" s="1" t="s">
        <v>162</v>
      </c>
      <c r="E54">
        <v>3</v>
      </c>
      <c r="F54" t="str">
        <f>VLOOKUP(E54,REGRAS!$A$2:$B$6,2,FALSE)</f>
        <v>Importante</v>
      </c>
    </row>
    <row r="55" spans="1:6">
      <c r="A55" t="s">
        <v>155</v>
      </c>
      <c r="B55" t="s">
        <v>140</v>
      </c>
      <c r="C55" t="s">
        <v>163</v>
      </c>
      <c r="D55" s="1" t="s">
        <v>164</v>
      </c>
      <c r="E55">
        <v>5</v>
      </c>
      <c r="F55" t="str">
        <f>VLOOKUP(E55,REGRAS!$A$2:$B$6,2,FALSE)</f>
        <v>Eliminatório (Must-have)</v>
      </c>
    </row>
    <row r="56" spans="1:6">
      <c r="A56" t="s">
        <v>155</v>
      </c>
      <c r="B56" t="s">
        <v>165</v>
      </c>
      <c r="C56" t="s">
        <v>166</v>
      </c>
      <c r="D56" s="1" t="s">
        <v>167</v>
      </c>
      <c r="E56">
        <v>3</v>
      </c>
      <c r="F56" t="str">
        <f>VLOOKUP(E56,REGRAS!$A$2:$B$6,2,FALSE)</f>
        <v>Importante</v>
      </c>
    </row>
    <row r="57" spans="1:6">
      <c r="A57" t="s">
        <v>155</v>
      </c>
      <c r="B57" t="s">
        <v>165</v>
      </c>
      <c r="C57" t="s">
        <v>168</v>
      </c>
      <c r="D57" s="1" t="s">
        <v>169</v>
      </c>
      <c r="E57">
        <v>3</v>
      </c>
      <c r="F57" t="str">
        <f>VLOOKUP(E57,REGRAS!$A$2:$B$6,2,FALSE)</f>
        <v>Importante</v>
      </c>
    </row>
    <row r="58" spans="1:6">
      <c r="A58" t="s">
        <v>155</v>
      </c>
      <c r="B58" t="s">
        <v>165</v>
      </c>
      <c r="C58" t="s">
        <v>170</v>
      </c>
      <c r="D58" s="1" t="s">
        <v>171</v>
      </c>
      <c r="E58">
        <v>3</v>
      </c>
      <c r="F58" t="str">
        <f>VLOOKUP(E58,REGRAS!$A$2:$B$6,2,FALSE)</f>
        <v>Importante</v>
      </c>
    </row>
    <row r="59" spans="1:6" ht="30">
      <c r="A59" t="s">
        <v>155</v>
      </c>
      <c r="B59" t="s">
        <v>172</v>
      </c>
      <c r="C59" t="s">
        <v>173</v>
      </c>
      <c r="D59" s="1" t="s">
        <v>174</v>
      </c>
      <c r="E59">
        <v>5</v>
      </c>
      <c r="F59" t="str">
        <f>VLOOKUP(E59,REGRAS!$A$2:$B$6,2,FALSE)</f>
        <v>Eliminatório (Must-have)</v>
      </c>
    </row>
    <row r="60" spans="1:6">
      <c r="A60" t="s">
        <v>172</v>
      </c>
      <c r="B60" t="s">
        <v>95</v>
      </c>
      <c r="C60" t="s">
        <v>156</v>
      </c>
      <c r="D60" s="1" t="s">
        <v>157</v>
      </c>
      <c r="E60">
        <v>5</v>
      </c>
      <c r="F60" t="str">
        <f>VLOOKUP(E60,REGRAS!$A$2:$B$6,2,FALSE)</f>
        <v>Eliminatório (Must-have)</v>
      </c>
    </row>
    <row r="61" spans="1:6">
      <c r="A61" t="s">
        <v>172</v>
      </c>
      <c r="B61" t="s">
        <v>140</v>
      </c>
      <c r="C61" t="s">
        <v>163</v>
      </c>
      <c r="D61" s="1" t="s">
        <v>164</v>
      </c>
      <c r="E61">
        <v>5</v>
      </c>
      <c r="F61" t="str">
        <f>VLOOKUP(E61,REGRAS!$A$2:$B$6,2,FALSE)</f>
        <v>Eliminatório (Must-have)</v>
      </c>
    </row>
    <row r="62" spans="1:6">
      <c r="A62" t="s">
        <v>172</v>
      </c>
      <c r="B62" t="s">
        <v>20</v>
      </c>
      <c r="C62" t="s">
        <v>176</v>
      </c>
      <c r="D62" s="1" t="s">
        <v>177</v>
      </c>
      <c r="E62">
        <v>3</v>
      </c>
      <c r="F62" t="str">
        <f>VLOOKUP(E62,REGRAS!$A$2:$B$6,2,FALSE)</f>
        <v>Importante</v>
      </c>
    </row>
    <row r="63" spans="1:6">
      <c r="A63" t="s">
        <v>172</v>
      </c>
      <c r="B63" t="s">
        <v>20</v>
      </c>
      <c r="C63" t="s">
        <v>178</v>
      </c>
      <c r="D63" s="1" t="s">
        <v>179</v>
      </c>
      <c r="E63">
        <v>3</v>
      </c>
      <c r="F63" t="str">
        <f>VLOOKUP(E63,REGRAS!$A$2:$B$6,2,FALSE)</f>
        <v>Importante</v>
      </c>
    </row>
    <row r="64" spans="1:6">
      <c r="A64" t="s">
        <v>172</v>
      </c>
      <c r="B64" t="s">
        <v>165</v>
      </c>
      <c r="C64" t="s">
        <v>166</v>
      </c>
      <c r="D64" s="1" t="s">
        <v>167</v>
      </c>
      <c r="E64">
        <v>3</v>
      </c>
      <c r="F64" t="str">
        <f>VLOOKUP(E64,REGRAS!$A$2:$B$6,2,FALSE)</f>
        <v>Importante</v>
      </c>
    </row>
    <row r="65" spans="1:6">
      <c r="A65" t="s">
        <v>172</v>
      </c>
      <c r="B65" t="s">
        <v>165</v>
      </c>
      <c r="C65" t="s">
        <v>168</v>
      </c>
      <c r="D65" s="1" t="s">
        <v>169</v>
      </c>
      <c r="E65">
        <v>3</v>
      </c>
      <c r="F65" t="str">
        <f>VLOOKUP(E65,REGRAS!$A$2:$B$6,2,FALSE)</f>
        <v>Importante</v>
      </c>
    </row>
    <row r="66" spans="1:6">
      <c r="A66" t="s">
        <v>172</v>
      </c>
      <c r="B66" t="s">
        <v>165</v>
      </c>
      <c r="C66" t="s">
        <v>170</v>
      </c>
      <c r="D66" s="1" t="s">
        <v>171</v>
      </c>
      <c r="E66">
        <v>3</v>
      </c>
      <c r="F66" t="str">
        <f>VLOOKUP(E66,REGRAS!$A$2:$B$6,2,FALSE)</f>
        <v>Importante</v>
      </c>
    </row>
    <row r="67" spans="1:6">
      <c r="A67" t="s">
        <v>172</v>
      </c>
      <c r="B67" t="s">
        <v>180</v>
      </c>
      <c r="C67" t="s">
        <v>181</v>
      </c>
      <c r="D67" s="1" t="s">
        <v>182</v>
      </c>
      <c r="E67">
        <v>4</v>
      </c>
      <c r="F67" t="str">
        <f>VLOOKUP(E67,REGRAS!$A$2:$B$6,2,FALSE)</f>
        <v>Crítico para operação/adaptação</v>
      </c>
    </row>
    <row r="68" spans="1:6" ht="30">
      <c r="A68" t="s">
        <v>172</v>
      </c>
      <c r="B68" t="s">
        <v>180</v>
      </c>
      <c r="C68" t="s">
        <v>184</v>
      </c>
      <c r="D68" s="1" t="s">
        <v>185</v>
      </c>
      <c r="E68">
        <v>4</v>
      </c>
      <c r="F68" t="str">
        <f>VLOOKUP(E68,REGRAS!$A$2:$B$6,2,FALSE)</f>
        <v>Crítico para operação/adaptação</v>
      </c>
    </row>
    <row r="69" spans="1:6">
      <c r="A69" t="s">
        <v>172</v>
      </c>
      <c r="B69" t="s">
        <v>180</v>
      </c>
      <c r="C69" t="s">
        <v>188</v>
      </c>
      <c r="D69" s="1" t="s">
        <v>189</v>
      </c>
      <c r="E69">
        <v>5</v>
      </c>
      <c r="F69" t="str">
        <f>VLOOKUP(E69,REGRAS!$A$2:$B$6,2,FALSE)</f>
        <v>Eliminatório (Must-have)</v>
      </c>
    </row>
    <row r="70" spans="1:6">
      <c r="A70" t="s">
        <v>172</v>
      </c>
      <c r="B70" t="s">
        <v>180</v>
      </c>
      <c r="C70" t="s">
        <v>192</v>
      </c>
      <c r="D70" s="1" t="s">
        <v>193</v>
      </c>
      <c r="E70">
        <v>4</v>
      </c>
      <c r="F70" t="str">
        <f>VLOOKUP(E70,REGRAS!$A$2:$B$6,2,FALSE)</f>
        <v>Crítico para operação/adaptação</v>
      </c>
    </row>
    <row r="71" spans="1:6" ht="30">
      <c r="A71" t="s">
        <v>172</v>
      </c>
      <c r="B71" t="s">
        <v>180</v>
      </c>
      <c r="C71" t="s">
        <v>196</v>
      </c>
      <c r="D71" s="1" t="s">
        <v>197</v>
      </c>
      <c r="E71">
        <v>2</v>
      </c>
      <c r="F71" t="str">
        <f>VLOOKUP(E71,REGRAS!$A$2:$B$6,2,FALSE)</f>
        <v>Desejável</v>
      </c>
    </row>
    <row r="72" spans="1:6">
      <c r="A72" t="s">
        <v>172</v>
      </c>
      <c r="B72" t="s">
        <v>198</v>
      </c>
      <c r="C72" t="s">
        <v>199</v>
      </c>
      <c r="D72" s="1" t="s">
        <v>200</v>
      </c>
      <c r="E72">
        <v>5</v>
      </c>
      <c r="F72" t="str">
        <f>VLOOKUP(E72,REGRAS!$A$2:$B$6,2,FALSE)</f>
        <v>Eliminatório (Must-have)</v>
      </c>
    </row>
    <row r="73" spans="1:6">
      <c r="A73" t="s">
        <v>172</v>
      </c>
      <c r="B73" t="s">
        <v>54</v>
      </c>
      <c r="C73" t="s">
        <v>54</v>
      </c>
      <c r="D73" s="1" t="s">
        <v>201</v>
      </c>
      <c r="E73">
        <v>3</v>
      </c>
      <c r="F73" t="str">
        <f>VLOOKUP(E73,REGRAS!$A$2:$B$6,2,FALSE)</f>
        <v>Importante</v>
      </c>
    </row>
    <row r="74" spans="1:6">
      <c r="A74" t="s">
        <v>198</v>
      </c>
      <c r="B74" t="s">
        <v>202</v>
      </c>
      <c r="C74" t="s">
        <v>203</v>
      </c>
      <c r="D74" s="1" t="s">
        <v>204</v>
      </c>
      <c r="E74">
        <v>4</v>
      </c>
      <c r="F74" t="str">
        <f>VLOOKUP(E74,REGRAS!$A$2:$B$6,2,FALSE)</f>
        <v>Crítico para operação/adaptação</v>
      </c>
    </row>
    <row r="75" spans="1:6">
      <c r="A75" t="s">
        <v>198</v>
      </c>
      <c r="B75" t="s">
        <v>202</v>
      </c>
      <c r="C75" t="s">
        <v>205</v>
      </c>
      <c r="D75" s="1" t="s">
        <v>206</v>
      </c>
      <c r="E75">
        <v>2</v>
      </c>
      <c r="F75" t="str">
        <f>VLOOKUP(E75,REGRAS!$A$2:$B$6,2,FALSE)</f>
        <v>Desejável</v>
      </c>
    </row>
    <row r="76" spans="1:6">
      <c r="A76" t="s">
        <v>198</v>
      </c>
      <c r="B76" t="s">
        <v>202</v>
      </c>
      <c r="C76" t="s">
        <v>208</v>
      </c>
      <c r="D76" s="1" t="s">
        <v>209</v>
      </c>
      <c r="E76">
        <v>3</v>
      </c>
      <c r="F76" t="str">
        <f>VLOOKUP(E76,REGRAS!$A$2:$B$6,2,FALSE)</f>
        <v>Importante</v>
      </c>
    </row>
    <row r="77" spans="1:6">
      <c r="A77" t="s">
        <v>198</v>
      </c>
      <c r="B77" t="s">
        <v>202</v>
      </c>
      <c r="C77" t="s">
        <v>211</v>
      </c>
      <c r="D77" s="1" t="s">
        <v>212</v>
      </c>
      <c r="E77">
        <v>3</v>
      </c>
      <c r="F77" t="str">
        <f>VLOOKUP(E77,REGRAS!$A$2:$B$6,2,FALSE)</f>
        <v>Importante</v>
      </c>
    </row>
    <row r="78" spans="1:6">
      <c r="A78" t="s">
        <v>198</v>
      </c>
      <c r="B78" t="s">
        <v>215</v>
      </c>
      <c r="C78" t="s">
        <v>205</v>
      </c>
      <c r="D78" s="1" t="s">
        <v>206</v>
      </c>
      <c r="E78">
        <v>3</v>
      </c>
      <c r="F78" t="str">
        <f>VLOOKUP(E78,REGRAS!$A$2:$B$6,2,FALSE)</f>
        <v>Importante</v>
      </c>
    </row>
    <row r="79" spans="1:6">
      <c r="A79" t="s">
        <v>198</v>
      </c>
      <c r="B79" t="s">
        <v>215</v>
      </c>
      <c r="C79" t="s">
        <v>203</v>
      </c>
      <c r="D79" s="1" t="s">
        <v>204</v>
      </c>
      <c r="E79">
        <v>2</v>
      </c>
      <c r="F79" t="str">
        <f>VLOOKUP(E79,REGRAS!$A$2:$B$6,2,FALSE)</f>
        <v>Desejável</v>
      </c>
    </row>
    <row r="80" spans="1:6" ht="30">
      <c r="A80" t="s">
        <v>198</v>
      </c>
      <c r="B80" t="s">
        <v>208</v>
      </c>
      <c r="C80" t="s">
        <v>217</v>
      </c>
      <c r="D80" s="1" t="s">
        <v>218</v>
      </c>
      <c r="E80">
        <v>2</v>
      </c>
      <c r="F80" t="str">
        <f>VLOOKUP(E80,REGRAS!$A$2:$B$6,2,FALSE)</f>
        <v>Desejável</v>
      </c>
    </row>
    <row r="81" spans="1:6">
      <c r="A81" t="s">
        <v>198</v>
      </c>
      <c r="B81" t="s">
        <v>198</v>
      </c>
      <c r="C81" t="s">
        <v>219</v>
      </c>
      <c r="D81" s="1" t="s">
        <v>220</v>
      </c>
      <c r="E81">
        <v>5</v>
      </c>
      <c r="F81" t="str">
        <f>VLOOKUP(E81,REGRAS!$A$2:$B$6,2,FALSE)</f>
        <v>Eliminatório (Must-have)</v>
      </c>
    </row>
    <row r="82" spans="1:6" ht="30">
      <c r="A82" t="s">
        <v>198</v>
      </c>
      <c r="B82" t="s">
        <v>198</v>
      </c>
      <c r="C82" t="s">
        <v>221</v>
      </c>
      <c r="D82" s="1" t="s">
        <v>222</v>
      </c>
      <c r="E82">
        <v>4</v>
      </c>
      <c r="F82" t="str">
        <f>VLOOKUP(E82,REGRAS!$A$2:$B$6,2,FALSE)</f>
        <v>Crítico para operação/adaptação</v>
      </c>
    </row>
    <row r="83" spans="1:6">
      <c r="A83" t="s">
        <v>198</v>
      </c>
      <c r="B83" t="s">
        <v>198</v>
      </c>
      <c r="C83" t="s">
        <v>223</v>
      </c>
      <c r="D83" s="1" t="s">
        <v>224</v>
      </c>
      <c r="E83">
        <v>4</v>
      </c>
      <c r="F83" t="str">
        <f>VLOOKUP(E83,REGRAS!$A$2:$B$6,2,FALSE)</f>
        <v>Crítico para operação/adaptação</v>
      </c>
    </row>
    <row r="84" spans="1:6">
      <c r="A84" t="s">
        <v>198</v>
      </c>
      <c r="B84" t="s">
        <v>225</v>
      </c>
      <c r="C84" t="s">
        <v>226</v>
      </c>
      <c r="D84" s="1" t="s">
        <v>227</v>
      </c>
      <c r="E84">
        <v>3</v>
      </c>
      <c r="F84" t="str">
        <f>VLOOKUP(E84,REGRAS!$A$2:$B$6,2,FALSE)</f>
        <v>Importante</v>
      </c>
    </row>
    <row r="85" spans="1:6" ht="30">
      <c r="A85" t="s">
        <v>198</v>
      </c>
      <c r="B85" t="s">
        <v>225</v>
      </c>
      <c r="C85" t="s">
        <v>228</v>
      </c>
      <c r="D85" s="1" t="s">
        <v>229</v>
      </c>
      <c r="E85">
        <v>3</v>
      </c>
      <c r="F85" t="str">
        <f>VLOOKUP(E85,REGRAS!$A$2:$B$6,2,FALSE)</f>
        <v>Importante</v>
      </c>
    </row>
    <row r="86" spans="1:6">
      <c r="A86" t="s">
        <v>198</v>
      </c>
      <c r="B86" t="s">
        <v>225</v>
      </c>
      <c r="C86" t="s">
        <v>230</v>
      </c>
      <c r="D86" s="1" t="s">
        <v>231</v>
      </c>
      <c r="E86">
        <v>3</v>
      </c>
      <c r="F86" t="str">
        <f>VLOOKUP(E86,REGRAS!$A$2:$B$6,2,FALSE)</f>
        <v>Importante</v>
      </c>
    </row>
    <row r="87" spans="1:6">
      <c r="A87" t="s">
        <v>198</v>
      </c>
      <c r="B87" t="s">
        <v>225</v>
      </c>
      <c r="C87" t="s">
        <v>232</v>
      </c>
      <c r="D87" s="1" t="s">
        <v>233</v>
      </c>
      <c r="E87">
        <v>3</v>
      </c>
      <c r="F87" t="str">
        <f>VLOOKUP(E87,REGRAS!$A$2:$B$6,2,FALSE)</f>
        <v>Importante</v>
      </c>
    </row>
    <row r="88" spans="1:6">
      <c r="A88" t="s">
        <v>198</v>
      </c>
      <c r="B88" t="s">
        <v>225</v>
      </c>
      <c r="C88" t="s">
        <v>234</v>
      </c>
      <c r="D88" s="1" t="s">
        <v>235</v>
      </c>
      <c r="E88">
        <v>4</v>
      </c>
      <c r="F88" t="str">
        <f>VLOOKUP(E88,REGRAS!$A$2:$B$6,2,FALSE)</f>
        <v>Crítico para operação/adaptação</v>
      </c>
    </row>
    <row r="89" spans="1:6" ht="30">
      <c r="A89" t="s">
        <v>198</v>
      </c>
      <c r="B89" t="s">
        <v>237</v>
      </c>
      <c r="C89" t="s">
        <v>238</v>
      </c>
      <c r="D89" s="1" t="s">
        <v>239</v>
      </c>
      <c r="E89">
        <v>4</v>
      </c>
      <c r="F89" t="str">
        <f>VLOOKUP(E89,REGRAS!$A$2:$B$6,2,FALSE)</f>
        <v>Crítico para operação/adaptação</v>
      </c>
    </row>
    <row r="90" spans="1:6" ht="30">
      <c r="A90" t="s">
        <v>198</v>
      </c>
      <c r="B90" t="s">
        <v>237</v>
      </c>
      <c r="C90" t="s">
        <v>242</v>
      </c>
      <c r="D90" s="1" t="s">
        <v>243</v>
      </c>
      <c r="E90">
        <v>4</v>
      </c>
      <c r="F90" t="str">
        <f>VLOOKUP(E90,REGRAS!$A$2:$B$6,2,FALSE)</f>
        <v>Crítico para operação/adaptação</v>
      </c>
    </row>
    <row r="91" spans="1:6" ht="30">
      <c r="A91" t="s">
        <v>198</v>
      </c>
      <c r="B91" t="s">
        <v>245</v>
      </c>
      <c r="C91" t="s">
        <v>246</v>
      </c>
      <c r="D91" s="1" t="s">
        <v>247</v>
      </c>
      <c r="E91">
        <v>4</v>
      </c>
      <c r="F91" t="str">
        <f>VLOOKUP(E91,REGRAS!$A$2:$B$6,2,FALSE)</f>
        <v>Crítico para operação/adaptação</v>
      </c>
    </row>
    <row r="92" spans="1:6" ht="30">
      <c r="A92" t="s">
        <v>198</v>
      </c>
      <c r="B92" t="s">
        <v>245</v>
      </c>
      <c r="C92" t="s">
        <v>248</v>
      </c>
      <c r="D92" s="1" t="s">
        <v>249</v>
      </c>
      <c r="E92">
        <v>3</v>
      </c>
      <c r="F92" t="str">
        <f>VLOOKUP(E92,REGRAS!$A$2:$B$6,2,FALSE)</f>
        <v>Importante</v>
      </c>
    </row>
    <row r="93" spans="1:6">
      <c r="A93" t="s">
        <v>198</v>
      </c>
      <c r="B93" t="s">
        <v>123</v>
      </c>
      <c r="C93" t="s">
        <v>124</v>
      </c>
      <c r="D93" s="1" t="s">
        <v>250</v>
      </c>
      <c r="E93">
        <v>3</v>
      </c>
      <c r="F93" t="str">
        <f>VLOOKUP(E93,REGRAS!$A$2:$B$6,2,FALSE)</f>
        <v>Importante</v>
      </c>
    </row>
    <row r="94" spans="1:6" ht="30">
      <c r="A94" t="s">
        <v>198</v>
      </c>
      <c r="B94" t="s">
        <v>123</v>
      </c>
      <c r="C94" t="s">
        <v>128</v>
      </c>
      <c r="D94" s="1" t="s">
        <v>252</v>
      </c>
      <c r="E94">
        <v>2</v>
      </c>
      <c r="F94" t="str">
        <f>VLOOKUP(E94,REGRAS!$A$2:$B$6,2,FALSE)</f>
        <v>Desejável</v>
      </c>
    </row>
  </sheetData>
  <autoFilter ref="A7:I94" xr:uid="{A89FB0EF-2216-401A-994A-F7509C93361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Ferreira</dc:creator>
  <cp:keywords/>
  <dc:description/>
  <cp:lastModifiedBy/>
  <cp:revision/>
  <dcterms:created xsi:type="dcterms:W3CDTF">2026-01-30T12:55:36Z</dcterms:created>
  <dcterms:modified xsi:type="dcterms:W3CDTF">2026-02-26T14:57:59Z</dcterms:modified>
  <cp:category/>
  <cp:contentStatus/>
</cp:coreProperties>
</file>